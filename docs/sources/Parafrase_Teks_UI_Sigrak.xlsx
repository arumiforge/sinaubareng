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ra pakai" sheetId="1" state="visible" r:id="rId3"/>
    <sheet name="Parafrase" sheetId="2" state="visible" r:id="rId4"/>
    <sheet name="Istilah"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<sst xmlns="http://schemas.openxmlformats.org/spreadsheetml/2006/main" count="7894" uniqueCount="2891">
  <si>
    <t xml:space="preserve">Parafrase teks tampilan EDUNEXA → Sigrak</t>
  </si>
  <si>
    <t xml:space="preserve">Disusun 29 Oktober 2026 dari halaman publik portal-edunexa.web.app dan skrip dialog/notifikasinya. Tidak ada data guru atau siswa yang diambil atau disimpan.</t>
  </si>
  <si>
    <t xml:space="preserve">Tab Parafrase: satu baris per teks. Kolom Teks baru dan Catatan boleh diedit langsung; kolom Status terisi otomatis (Tetap bila teks lama = teks baru).</t>
  </si>
  <si>
    <t xml:space="preserve">Tab Istilah: daftar istilah baku. Pakai daftar ini saat menulis teks baru agar konsisten.</t>
  </si>
  <si>
    <t xml:space="preserve">Tab Ringkasan: jumlah teks per halaman, dihitung otomatis dari tab Parafrase.</t>
  </si>
  <si>
    <t xml:space="preserve">Tanda {…} = bagian yang diisi program (nama, tanggal, angka, pesan galat teknis). Jangan dihapus saat menerapkan.</t>
  </si>
  <si>
    <t xml:space="preserve">Halaman "Semua halaman" = teks yang muncul di beberapa halaman; cukup diganti sekali di komponen bersama.</t>
  </si>
  <si>
    <t xml:space="preserve">"Sigrak" adalah nama kerja; bila nama lain dipilih, cari-ganti "Sigrak".</t>
  </si>
  <si>
    <t xml:space="preserve">Teks (baru) = elemen baru dari perombakan fitur, belum ada di versi sekarang.</t>
  </si>
  <si>
    <t xml:space="preserve">Contoh baris (format yang diharapkan):</t>
  </si>
  <si>
    <t xml:space="preserve">Generator RPM | Tombol | GENERATE MODUL | Buat RPM | Tombol utama, bukan huruf kapital semua</t>
  </si>
  <si>
    <t xml:space="preserve">No</t>
  </si>
  <si>
    <t xml:space="preserve">Halaman</t>
  </si>
  <si>
    <t xml:space="preserve">Jenis teks</t>
  </si>
  <si>
    <t xml:space="preserve">Teks lama</t>
  </si>
  <si>
    <t xml:space="preserve">Teks baru</t>
  </si>
  <si>
    <t xml:space="preserve">Catatan</t>
  </si>
  <si>
    <t xml:space="preserve">Status</t>
  </si>
  <si>
    <t xml:space="preserve">Sumber</t>
  </si>
  <si>
    <t xml:space="preserve">Semua halaman</t>
  </si>
  <si>
    <t xml:space="preserve">Tombol</t>
  </si>
  <si>
    <t xml:space="preserve">Simpan</t>
  </si>
  <si>
    <t xml:space="preserve">Tetap; bila memungkinkan sebut bendanya: Simpan jurnal, Simpan RPM</t>
  </si>
  <si>
    <t xml:space="preserve">Halaman publik</t>
  </si>
  <si>
    <t xml:space="preserve">Download</t>
  </si>
  <si>
    <t xml:space="preserve">Unduh</t>
  </si>
  <si>
    <t xml:space="preserve">Istilah baku: Unduh</t>
  </si>
  <si>
    <t xml:space="preserve">Cetak</t>
  </si>
  <si>
    <t xml:space="preserve">Tetap</t>
  </si>
  <si>
    <t xml:space="preserve">Kembali</t>
  </si>
  <si>
    <t xml:space="preserve">Edit</t>
  </si>
  <si>
    <t xml:space="preserve">Ubah</t>
  </si>
  <si>
    <t xml:space="preserve">Istilah baku: Ubah</t>
  </si>
  <si>
    <t xml:space="preserve">Tambah</t>
  </si>
  <si>
    <t xml:space="preserve">Tetap; sebut bendanya bila ruang cukup: Tambah siswa</t>
  </si>
  <si>
    <t xml:space="preserve">Muat Ulang</t>
  </si>
  <si>
    <t xml:space="preserve">Muat ulang</t>
  </si>
  <si>
    <t xml:space="preserve">Huruf kapital hanya di awal</t>
  </si>
  <si>
    <t xml:space="preserve">Pilih Semua</t>
  </si>
  <si>
    <t xml:space="preserve">Pilih semua</t>
  </si>
  <si>
    <t xml:space="preserve">Coba Lagi</t>
  </si>
  <si>
    <t xml:space="preserve">Coba lagi</t>
  </si>
  <si>
    <t xml:space="preserve">Keluar &amp; Login Ulang</t>
  </si>
  <si>
    <t xml:space="preserve">Masuk ulang</t>
  </si>
  <si>
    <t xml:space="preserve">Satu tindakan, satu kata kerja</t>
  </si>
  <si>
    <t xml:space="preserve">Status proses</t>
  </si>
  <si>
    <t xml:space="preserve">Memuat...</t>
  </si>
  <si>
    <t xml:space="preserve">Memuat…</t>
  </si>
  <si>
    <t xml:space="preserve">Pakai elipsis satu karakter</t>
  </si>
  <si>
    <t xml:space="preserve">Memuat Data...</t>
  </si>
  <si>
    <t xml:space="preserve">Memuat data…</t>
  </si>
  <si>
    <t xml:space="preserve">Memuat data...</t>
  </si>
  <si>
    <t xml:space="preserve">Mendeteksi dari Portal...</t>
  </si>
  <si>
    <t xml:space="preserve">Membaca kelas aktif…</t>
  </si>
  <si>
    <t xml:space="preserve">Label formulir</t>
  </si>
  <si>
    <t xml:space="preserve">Target Kelas &amp; Semester (Auto-Sync)</t>
  </si>
  <si>
    <t xml:space="preserve">Kelas dan semester</t>
  </si>
  <si>
    <t xml:space="preserve">"Auto-Sync" dihapus; tambah keterangan kecil "diambil dari kelas aktif"</t>
  </si>
  <si>
    <t xml:space="preserve">Semua Mata Pelajaran</t>
  </si>
  <si>
    <t xml:space="preserve">Semua mata pelajaran</t>
  </si>
  <si>
    <t xml:space="preserve">Judul kolom</t>
  </si>
  <si>
    <t xml:space="preserve">Aksi</t>
  </si>
  <si>
    <t xml:space="preserve">Tetap; di HP diganti ikon titik tiga dengan label aksesibel</t>
  </si>
  <si>
    <t xml:space="preserve">Aksi Penanganan</t>
  </si>
  <si>
    <t xml:space="preserve">No.</t>
  </si>
  <si>
    <t xml:space="preserve">Judul Dokumen</t>
  </si>
  <si>
    <t xml:space="preserve">Judul</t>
  </si>
  <si>
    <t xml:space="preserve">Tanggal Buat</t>
  </si>
  <si>
    <t xml:space="preserve">Dibuat</t>
  </si>
  <si>
    <t xml:space="preserve">Tanggal Pelaksanaan</t>
  </si>
  <si>
    <t xml:space="preserve">Tanggal pelaksanaan</t>
  </si>
  <si>
    <t xml:space="preserve">Pesan kosong</t>
  </si>
  <si>
    <t xml:space="preserve">Sistem Edunexa Siap.</t>
  </si>
  <si>
    <t xml:space="preserve">Pratinjau akan muncul di sini.</t>
  </si>
  <si>
    <t xml:space="preserve">Pesan kosong menjelaskan apa yang akan tampil</t>
  </si>
  <si>
    <t xml:space="preserve">Simpan Lokal</t>
  </si>
  <si>
    <t xml:space="preserve">Penyimpanan ke server; tidak perlu membedakan lokal</t>
  </si>
  <si>
    <t xml:space="preserve">Word</t>
  </si>
  <si>
    <t xml:space="preserve">Unduh Word</t>
  </si>
  <si>
    <t xml:space="preserve">DOCX</t>
  </si>
  <si>
    <t xml:space="preserve">Pengguna mengenal "Word", bukan DOCX</t>
  </si>
  <si>
    <t xml:space="preserve">PDF</t>
  </si>
  <si>
    <t xml:space="preserve">Unduh PDF</t>
  </si>
  <si>
    <t xml:space="preserve">Download PDF</t>
  </si>
  <si>
    <t xml:space="preserve">Download Cadangan</t>
  </si>
  <si>
    <t xml:space="preserve">Ekspor data</t>
  </si>
  <si>
    <t xml:space="preserve">Dipindah ke Akun &gt; Ekspor data</t>
  </si>
  <si>
    <t xml:space="preserve">Impor Cadangan</t>
  </si>
  <si>
    <t xml:space="preserve">Pulihkan dari file</t>
  </si>
  <si>
    <t xml:space="preserve">Dipindah ke Akun</t>
  </si>
  <si>
    <t xml:space="preserve">Pilihan</t>
  </si>
  <si>
    <t xml:space="preserve">Ganjil (1)</t>
  </si>
  <si>
    <t xml:space="preserve">Semester 1 (Ganjil)</t>
  </si>
  <si>
    <t xml:space="preserve">Angka di depan agar urut</t>
  </si>
  <si>
    <t xml:space="preserve">Genap (2)</t>
  </si>
  <si>
    <t xml:space="preserve">Semester 2 (Genap)</t>
  </si>
  <si>
    <t xml:space="preserve">Kontrol</t>
  </si>
  <si>
    <t xml:space="preserve">− 100% +</t>
  </si>
  <si>
    <t xml:space="preserve">Perkecil / 100% / Perbesar</t>
  </si>
  <si>
    <t xml:space="preserve">Ikon tetap, beri label aksesibel</t>
  </si>
  <si>
    <t xml:space="preserve">Placeholder</t>
  </si>
  <si>
    <t xml:space="preserve">-- Pilih Mapel Terlebih Dahulu --</t>
  </si>
  <si>
    <t xml:space="preserve">Pilih mata pelajaran dulu</t>
  </si>
  <si>
    <t xml:space="preserve">-- Pilih Tanggal Terlebih Dahulu --</t>
  </si>
  <si>
    <t xml:space="preserve">Pilih tanggal dulu</t>
  </si>
  <si>
    <t xml:space="preserve">Jenjang</t>
  </si>
  <si>
    <t xml:space="preserve">Sementara hanya SD/MI; pilihan lain disembunyikan</t>
  </si>
  <si>
    <t xml:space="preserve">SMP/MTs, SMA/MA, SMK/MAK</t>
  </si>
  <si>
    <t xml:space="preserve">(disembunyikan)</t>
  </si>
  <si>
    <t xml:space="preserve">Tampil lagi saat data jenjang tersebut siap</t>
  </si>
  <si>
    <t xml:space="preserve">Kelas 7 sampai Kelas 12</t>
  </si>
  <si>
    <t xml:space="preserve">Data materi baru ada untuk kelas 1–6</t>
  </si>
  <si>
    <t xml:space="preserve">Judul menu</t>
  </si>
  <si>
    <t xml:space="preserve">Pengaturan Portal</t>
  </si>
  <si>
    <t xml:space="preserve">Akun</t>
  </si>
  <si>
    <t xml:space="preserve">Tab</t>
  </si>
  <si>
    <t xml:space="preserve">Sistem</t>
  </si>
  <si>
    <t xml:space="preserve">Tampilan</t>
  </si>
  <si>
    <t xml:space="preserve">Profil</t>
  </si>
  <si>
    <t xml:space="preserve">Password</t>
  </si>
  <si>
    <t xml:space="preserve">Kata sandi</t>
  </si>
  <si>
    <t xml:space="preserve">Istilah baku: kata sandi</t>
  </si>
  <si>
    <t xml:space="preserve">Tema Tampilan</t>
  </si>
  <si>
    <t xml:space="preserve">Tema</t>
  </si>
  <si>
    <t xml:space="preserve">Terang</t>
  </si>
  <si>
    <t xml:space="preserve">Gelap</t>
  </si>
  <si>
    <t xml:space="preserve">Tetap; tambah pilihan "Ikuti perangkat"</t>
  </si>
  <si>
    <t xml:space="preserve">Ukuran Kertas Default</t>
  </si>
  <si>
    <t xml:space="preserve">Ukuran kertas</t>
  </si>
  <si>
    <t xml:space="preserve">Dipindah ke Pengaturan Sekolah &gt; Cetak</t>
  </si>
  <si>
    <t xml:space="preserve">Petunjuk</t>
  </si>
  <si>
    <t xml:space="preserve">Pilih ukuran kertas yang akan digunakan secara global saat melakukan download atau cetak PDF.</t>
  </si>
  <si>
    <t xml:space="preserve">Dipakai saat mengunduh atau mencetak PDF.</t>
  </si>
  <si>
    <t xml:space="preserve">A4 (210 x 297 mm)</t>
  </si>
  <si>
    <t xml:space="preserve">A4 (210 × 297 mm)</t>
  </si>
  <si>
    <t xml:space="preserve">Tanda kali yang benar</t>
  </si>
  <si>
    <t xml:space="preserve">F4 / Folio (215 x 330 mm)</t>
  </si>
  <si>
    <t xml:space="preserve">F4 (215 × 330 mm)</t>
  </si>
  <si>
    <t xml:space="preserve">Password Baru</t>
  </si>
  <si>
    <t xml:space="preserve">Kata sandi baru</t>
  </si>
  <si>
    <t xml:space="preserve">Konfirmasi Password Baru</t>
  </si>
  <si>
    <t xml:space="preserve">Ulangi kata sandi baru</t>
  </si>
  <si>
    <t xml:space="preserve">Simpan Password</t>
  </si>
  <si>
    <t xml:space="preserve">Simpan kata sandi</t>
  </si>
  <si>
    <t xml:space="preserve">API Key Gemini</t>
  </si>
  <si>
    <t xml:space="preserve">Kunci AI (Gemini)</t>
  </si>
  <si>
    <t xml:space="preserve">Istilah baku: kunci AI</t>
  </si>
  <si>
    <t xml:space="preserve">Tautan</t>
  </si>
  <si>
    <t xml:space="preserve">Dapatkan API Key</t>
  </si>
  <si>
    <t xml:space="preserve">Cara membuat kunci AI</t>
  </si>
  <si>
    <t xml:space="preserve">Membuka panduan langkah demi langkah</t>
  </si>
  <si>
    <t xml:space="preserve">Membaca sesi login dan hak akses akun…</t>
  </si>
  <si>
    <t xml:space="preserve">Memeriksa akun Anda…</t>
  </si>
  <si>
    <t xml:space="preserve">Judul dialog</t>
  </si>
  <si>
    <t xml:space="preserve">Portal tidak dapat dibuka</t>
  </si>
  <si>
    <t xml:space="preserve">Halaman belum bisa dibuka</t>
  </si>
  <si>
    <t xml:space="preserve">Isi dialog</t>
  </si>
  <si>
    <t xml:space="preserve">Terjadi kendala saat memeriksa akun Anda.</t>
  </si>
  <si>
    <t xml:space="preserve">Akun Anda belum bisa diperiksa. Periksa koneksi, lalu coba lagi.</t>
  </si>
  <si>
    <t xml:space="preserve">Judul halaman</t>
  </si>
  <si>
    <t xml:space="preserve">EDUNEXA</t>
  </si>
  <si>
    <t xml:space="preserve">Sigrak</t>
  </si>
  <si>
    <t xml:space="preserve">Nama kerja brand baru</t>
  </si>
  <si>
    <t xml:space="preserve">Galat</t>
  </si>
  <si>
    <t xml:space="preserve">Gagal memproses AI: {…}</t>
  </si>
  <si>
    <t xml:space="preserve">AI belum berhasil membuat isi. Periksa kunci AI Anda di Akun &gt; Kunci AI Saya, lalu coba lagi.</t>
  </si>
  <si>
    <t xml:space="preserve">Detail galat teknis ditaruh di "Lihat detail"</t>
  </si>
  <si>
    <t xml:space="preserve">Skrip halaman (dialog/notifikasi)</t>
  </si>
  <si>
    <t xml:space="preserve">Impor gagal: {…}</t>
  </si>
  <si>
    <t xml:space="preserve">File belum berhasil diimpor. Pastikan file berasal dari Sigrak dan belum diubah. ({…})</t>
  </si>
  <si>
    <t xml:space="preserve">Pemeriksaan sesi terlalu lama</t>
  </si>
  <si>
    <t xml:space="preserve">Pemeriksaan akun terlalu lama. Periksa koneksi, lalu coba lagi.</t>
  </si>
  <si>
    <t xml:space="preserve">Batal</t>
  </si>
  <si>
    <t xml:space="preserve">Tetap; dipakai di semua dialog</t>
  </si>
  <si>
    <t xml:space="preserve">Mengerti</t>
  </si>
  <si>
    <t xml:space="preserve">Notifikasi</t>
  </si>
  <si>
    <t xml:space="preserve">Selesai</t>
  </si>
  <si>
    <t xml:space="preserve">Gagal Menyimpan</t>
  </si>
  <si>
    <t xml:space="preserve">Belum tersimpan</t>
  </si>
  <si>
    <t xml:space="preserve">Tutup</t>
  </si>
  <si>
    <t xml:space="preserve">Tambahkan</t>
  </si>
  <si>
    <t xml:space="preserve">Satu istilah: Tambah</t>
  </si>
  <si>
    <t xml:space="preserve">API Key Gemini Belum Diisi</t>
  </si>
  <si>
    <t xml:space="preserve">Tambahkan kunci AI Anda</t>
  </si>
  <si>
    <t xml:space="preserve">Tempel API Key di sini</t>
  </si>
  <si>
    <t xml:space="preserve">Tempel kunci AI di sini</t>
  </si>
  <si>
    <t xml:space="preserve">Simpan &amp; Lanjutkan</t>
  </si>
  <si>
    <t xml:space="preserve">Simpan dan lanjutkan</t>
  </si>
  <si>
    <t xml:space="preserve">Beranda &amp; akun (index.html)</t>
  </si>
  <si>
    <t xml:space="preserve">EDUNEXA - Future Of Learning</t>
  </si>
  <si>
    <t xml:space="preserve">Sigrak — administrasi guru SD/MI</t>
  </si>
  <si>
    <t xml:space="preserve">Judul tab browser</t>
  </si>
  <si>
    <t xml:space="preserve">Username</t>
  </si>
  <si>
    <t xml:space="preserve">Nama pengguna</t>
  </si>
  <si>
    <t xml:space="preserve">Instansi</t>
  </si>
  <si>
    <t xml:space="preserve">Sekolah</t>
  </si>
  <si>
    <t xml:space="preserve">Istilah baku: sekolah</t>
  </si>
  <si>
    <t xml:space="preserve">Memverifikasi...</t>
  </si>
  <si>
    <t xml:space="preserve">Memeriksa…</t>
  </si>
  <si>
    <t xml:space="preserve">Pilih Kelas Tujuan</t>
  </si>
  <si>
    <t xml:space="preserve">Kelas yang dibuka</t>
  </si>
  <si>
    <t xml:space="preserve">-- Pilih kelas tujuan --</t>
  </si>
  <si>
    <t xml:space="preserve">Pilih kelas</t>
  </si>
  <si>
    <t xml:space="preserve">Masuk Portal</t>
  </si>
  <si>
    <t xml:space="preserve">Masuk</t>
  </si>
  <si>
    <t xml:space="preserve">Aktivasi Guru Mapel</t>
  </si>
  <si>
    <t xml:space="preserve">Pilih kelas yang Anda ajar</t>
  </si>
  <si>
    <t xml:space="preserve">Centang kelas yang diampu pada instansi ini.</t>
  </si>
  <si>
    <t xml:space="preserve">Centang semua kelas tempat Anda mengajar.</t>
  </si>
  <si>
    <t xml:space="preserve">Memuat daftar kelas…</t>
  </si>
  <si>
    <t xml:space="preserve">Memuat kelas…</t>
  </si>
  <si>
    <t xml:space="preserve">Belum ada data kelas pada instansi ini.</t>
  </si>
  <si>
    <t xml:space="preserve">Sekolah ini belum punya kelas. Minta admin sekolah menambahkannya.</t>
  </si>
  <si>
    <t xml:space="preserve">Pesan kosong menyebut langkah berikutnya</t>
  </si>
  <si>
    <t xml:space="preserve">Konfirmasi Kelas</t>
  </si>
  <si>
    <t xml:space="preserve">Simpan kelas</t>
  </si>
  <si>
    <t xml:space="preserve">Profil Akademik Anda</t>
  </si>
  <si>
    <t xml:space="preserve">Lengkapi profil Anda</t>
  </si>
  <si>
    <t xml:space="preserve">Bagian panduan awal 3 langkah</t>
  </si>
  <si>
    <t xml:space="preserve">Data ini akan disinkronkan otomatis sebagai Kop Surat e-Rapor, Modul Ajar, dan Bank Soal.</t>
  </si>
  <si>
    <t xml:space="preserve">Data ini dipakai untuk kop dan tanda tangan di RPM, soal, dan rapor.</t>
  </si>
  <si>
    <t xml:space="preserve">Subjudul</t>
  </si>
  <si>
    <t xml:space="preserve">Kredensial &amp; Sekolah</t>
  </si>
  <si>
    <t xml:space="preserve">API Key Gemini (WAJIB)</t>
  </si>
  <si>
    <t xml:space="preserve">Kunci AI (bisa diisi nanti)</t>
  </si>
  <si>
    <t xml:space="preserve">Tidak lagi wajib saat daftar</t>
  </si>
  <si>
    <t xml:space="preserve">Dapatkan API KEY</t>
  </si>
  <si>
    <t xml:space="preserve">Tooltip</t>
  </si>
  <si>
    <t xml:space="preserve">Buka tab baru, salin API Key, lalu tempel di kolom ini.</t>
  </si>
  <si>
    <t xml:space="preserve">Buat kunci di Google AI Studio, salin, lalu tempel di sini.</t>
  </si>
  <si>
    <t xml:space="preserve">Nama Sekolah</t>
  </si>
  <si>
    <t xml:space="preserve">Nama sekolah</t>
  </si>
  <si>
    <t xml:space="preserve">Alamat Sekolah</t>
  </si>
  <si>
    <t xml:space="preserve">Alamat sekolah</t>
  </si>
  <si>
    <t xml:space="preserve">Kecamatan</t>
  </si>
  <si>
    <t xml:space="preserve">Kota / Kabupaten</t>
  </si>
  <si>
    <t xml:space="preserve">Kabupaten/kota</t>
  </si>
  <si>
    <t xml:space="preserve">Bawaan: Kudus</t>
  </si>
  <si>
    <t xml:space="preserve">Nama Kepala Sekolah</t>
  </si>
  <si>
    <t xml:space="preserve">Nama kepala sekolah</t>
  </si>
  <si>
    <t xml:space="preserve">NIP Kepala Sekolah</t>
  </si>
  <si>
    <t xml:space="preserve">NIP kepala sekolah</t>
  </si>
  <si>
    <t xml:space="preserve">Guru &amp; Sesi Akademik</t>
  </si>
  <si>
    <t xml:space="preserve">Anda dan kelas Anda</t>
  </si>
  <si>
    <t xml:space="preserve">Nama Guru</t>
  </si>
  <si>
    <t xml:space="preserve">Nama lengkap dan gelar</t>
  </si>
  <si>
    <t xml:space="preserve">NIP Guru</t>
  </si>
  <si>
    <t xml:space="preserve">NIP (kosongkan bila belum ada)</t>
  </si>
  <si>
    <t xml:space="preserve">Mata Pelajaran yang Diampu</t>
  </si>
  <si>
    <t xml:space="preserve">Mata pelajaran yang Anda ajar</t>
  </si>
  <si>
    <t xml:space="preserve">Memuat mata pelajaran Kurikulum…</t>
  </si>
  <si>
    <t xml:space="preserve">Memuat mata pelajaran…</t>
  </si>
  <si>
    <t xml:space="preserve">Peringatan</t>
  </si>
  <si>
    <t xml:space="preserve">Mapel ini akan dicatat sebagai belum lengkap.</t>
  </si>
  <si>
    <t xml:space="preserve">Mata pelajaran ini belum punya data kurikulum.</t>
  </si>
  <si>
    <t xml:space="preserve">Lengkapi CP, TP, kelas, semester, dan materi di Kurikulum sebelum digunakan.</t>
  </si>
  <si>
    <t xml:space="preserve">Lengkapi CP, TP, dan materinya di Rencana &gt; Kurikulum sebelum membuat RPM.</t>
  </si>
  <si>
    <t xml:space="preserve">Kelas</t>
  </si>
  <si>
    <t xml:space="preserve">Paralel/Rombel</t>
  </si>
  <si>
    <t xml:space="preserve">Rombel</t>
  </si>
  <si>
    <t xml:space="preserve">Tahun Ajaran</t>
  </si>
  <si>
    <t xml:space="preserve">Tahun ajaran</t>
  </si>
  <si>
    <t xml:space="preserve">Semester</t>
  </si>
  <si>
    <t xml:space="preserve">Tanggal Mulai Tahun Ajaran</t>
  </si>
  <si>
    <t xml:space="preserve">Tanggal mulai tahun ajaran</t>
  </si>
  <si>
    <t xml:space="preserve">Bawaan dari kaldik sekolah</t>
  </si>
  <si>
    <t xml:space="preserve">Tanggal Mulai Semester Genap</t>
  </si>
  <si>
    <t xml:space="preserve">Tanggal mulai semester 2</t>
  </si>
  <si>
    <t xml:space="preserve">DD/MM/YYYY</t>
  </si>
  <si>
    <t xml:space="preserve">hh/bb/tttt</t>
  </si>
  <si>
    <t xml:space="preserve">Format tanggal Indonesia</t>
  </si>
  <si>
    <t xml:space="preserve">Kelas yang Diampu Guru Mapel</t>
  </si>
  <si>
    <t xml:space="preserve">Kelas yang Anda ajar</t>
  </si>
  <si>
    <t xml:space="preserve">Centang kelas dari instansi yang akan Anda ajar. Pilihan ini digunakan pada login berikutnya.</t>
  </si>
  <si>
    <t xml:space="preserve">Centang kelas yang Anda ajar. Anda bisa berpindah kelas kapan saja dari menu atas.</t>
  </si>
  <si>
    <t xml:space="preserve">Memuat kelas instansi…</t>
  </si>
  <si>
    <t xml:space="preserve">Belum ada kelas pada database instansi.</t>
  </si>
  <si>
    <t xml:space="preserve">+ Tambah Kelas Baru</t>
  </si>
  <si>
    <t xml:space="preserve">Tambah kelas</t>
  </si>
  <si>
    <t xml:space="preserve">Tanpa tanda + di teks; pakai ikon</t>
  </si>
  <si>
    <t xml:space="preserve">Batal &amp; Kembali</t>
  </si>
  <si>
    <t xml:space="preserve">Simpan Profil &amp; Masuk</t>
  </si>
  <si>
    <t xml:space="preserve">Simpan dan mulai</t>
  </si>
  <si>
    <t xml:space="preserve">Label</t>
  </si>
  <si>
    <t xml:space="preserve">Mode Pemeriksaan</t>
  </si>
  <si>
    <t xml:space="preserve">Mode Contoh</t>
  </si>
  <si>
    <t xml:space="preserve">Portal Guru</t>
  </si>
  <si>
    <t xml:space="preserve">Hari Ini</t>
  </si>
  <si>
    <t xml:space="preserve">Menu baru</t>
  </si>
  <si>
    <t xml:space="preserve">Data Demo</t>
  </si>
  <si>
    <t xml:space="preserve">Data contoh</t>
  </si>
  <si>
    <t xml:space="preserve">Data contoh khusus presentasi. Tidak mengambil data akun guru asli.</t>
  </si>
  <si>
    <t xml:space="preserve">Anda sedang melihat data contoh. Tidak ada data guru atau siswa asli.</t>
  </si>
  <si>
    <t xml:space="preserve">Kelas Aktif</t>
  </si>
  <si>
    <t xml:space="preserve">Role</t>
  </si>
  <si>
    <t xml:space="preserve">Peran</t>
  </si>
  <si>
    <t xml:space="preserve">Pemberitahuan</t>
  </si>
  <si>
    <t xml:space="preserve">Kabar</t>
  </si>
  <si>
    <t xml:space="preserve">Tutorial</t>
  </si>
  <si>
    <t xml:space="preserve">Bantuan</t>
  </si>
  <si>
    <t xml:space="preserve">Arsip</t>
  </si>
  <si>
    <t xml:space="preserve">Dokumen Saya</t>
  </si>
  <si>
    <t xml:space="preserve">UPDATE TERSEDIA</t>
  </si>
  <si>
    <t xml:space="preserve">Versi baru tersedia</t>
  </si>
  <si>
    <t xml:space="preserve">Tanpa huruf kapital semua; tombol "Muat ulang"</t>
  </si>
  <si>
    <t xml:space="preserve">Belum ada pemberitahuan aktif.</t>
  </si>
  <si>
    <t xml:space="preserve">Belum ada kabar baru.</t>
  </si>
  <si>
    <t xml:space="preserve">Kartu menu</t>
  </si>
  <si>
    <t xml:space="preserve">Administrasi Kelas</t>
  </si>
  <si>
    <t xml:space="preserve">Kelas Saya</t>
  </si>
  <si>
    <t xml:space="preserve">Kelola Data Siswa, Absensi, Jurnal &amp; Jadwal.</t>
  </si>
  <si>
    <t xml:space="preserve">Siswa, jadwal, piket, keuangan, inventaris.</t>
  </si>
  <si>
    <t xml:space="preserve">Absensi dan jurnal pindah ke Di Kelas</t>
  </si>
  <si>
    <t xml:space="preserve">Generator RPM</t>
  </si>
  <si>
    <t xml:space="preserve">RPM</t>
  </si>
  <si>
    <t xml:space="preserve">Susun modul ajar kurikulum merdeka dinamis berbasis AI.</t>
  </si>
  <si>
    <t xml:space="preserve">Susun RPM dari jadwal dan kurikulum dalam 4 langkah.</t>
  </si>
  <si>
    <t xml:space="preserve">Tanpa kata pemanis "dinamis berbasis AI"</t>
  </si>
  <si>
    <t xml:space="preserve">Bank Soal</t>
  </si>
  <si>
    <t xml:space="preserve">Buat Soal</t>
  </si>
  <si>
    <t xml:space="preserve">Generator evaluasi cerdas. Buat kisi-kisi dan kartu soal HOTS.</t>
  </si>
  <si>
    <t xml:space="preserve">Soal PH, STS, SAS, dan US lengkap dengan kisi-kisi dan kartu soal.</t>
  </si>
  <si>
    <t xml:space="preserve">Penilaian</t>
  </si>
  <si>
    <t xml:space="preserve">Asesmen</t>
  </si>
  <si>
    <t xml:space="preserve">Otomatisasi pengolahan nilai, cetak leger, dan inject e-Rapor.</t>
  </si>
  <si>
    <t xml:space="preserve">Olah nilai, cetak leger, dan siapkan rapor.</t>
  </si>
  <si>
    <t xml:space="preserve">"Inject" istilah teknis</t>
  </si>
  <si>
    <t xml:space="preserve">Pengaturan</t>
  </si>
  <si>
    <t xml:space="preserve">Kelola tema, kertas, profil, dan ganti password portal.</t>
  </si>
  <si>
    <t xml:space="preserve">Profil, kata sandi, tema, dan kunci AI.</t>
  </si>
  <si>
    <t xml:space="preserve">Judul panel</t>
  </si>
  <si>
    <t xml:space="preserve">PAPAN INFORMASI SIARAN</t>
  </si>
  <si>
    <t xml:space="preserve">Kabar dari sekolah</t>
  </si>
  <si>
    <t xml:space="preserve">Tanpa huruf kapital semua</t>
  </si>
  <si>
    <t xml:space="preserve">Memuat pesan siaran...</t>
  </si>
  <si>
    <t xml:space="preserve">Memuat kabar…</t>
  </si>
  <si>
    <t xml:space="preserve">Edit Pesan</t>
  </si>
  <si>
    <t xml:space="preserve">Ubah kabar</t>
  </si>
  <si>
    <t xml:space="preserve">Administrasi Pembelajaran</t>
  </si>
  <si>
    <t xml:space="preserve">Yang perlu diisi</t>
  </si>
  <si>
    <t xml:space="preserve">Progres Administrasi</t>
  </si>
  <si>
    <t xml:space="preserve">Progres minggu ini</t>
  </si>
  <si>
    <t xml:space="preserve">Dari tanggal</t>
  </si>
  <si>
    <t xml:space="preserve">Dari</t>
  </si>
  <si>
    <t xml:space="preserve">Rentang tanggal cukup Dari–Sampai</t>
  </si>
  <si>
    <t xml:space="preserve">Sampai tanggal</t>
  </si>
  <si>
    <t xml:space="preserve">Sampai</t>
  </si>
  <si>
    <t xml:space="preserve">Download Paket</t>
  </si>
  <si>
    <t xml:space="preserve">Unduh semua dokumen</t>
  </si>
  <si>
    <t xml:space="preserve">Menghitung progres administrasi…</t>
  </si>
  <si>
    <t xml:space="preserve">Menghitung progres…</t>
  </si>
  <si>
    <t xml:space="preserve">Pengajuan Perpindahan Kelas &amp; Instansi</t>
  </si>
  <si>
    <t xml:space="preserve">Pengajuan pindah kelas dan sekolah</t>
  </si>
  <si>
    <t xml:space="preserve">Memuat pengajuan…</t>
  </si>
  <si>
    <t xml:space="preserve">Setujui hanya kalau perpindahan ini memang benar sesuai penugasan/penunjukan resmi dari sekolah.</t>
  </si>
  <si>
    <t xml:space="preserve">Setujui hanya bila sesuai surat tugas dari sekolah.</t>
  </si>
  <si>
    <t xml:space="preserve">Menyetujui akan langsung mengubah kelas atau instansi akun guru terkait.</t>
  </si>
  <si>
    <t xml:space="preserve">Setelah disetujui, kelas atau sekolah guru langsung berubah.</t>
  </si>
  <si>
    <t xml:space="preserve">Pengajuan Perpindahan</t>
  </si>
  <si>
    <t xml:space="preserve">Pengajuan pindah</t>
  </si>
  <si>
    <t xml:space="preserve">Lengkapi Identitas Pengelola</t>
  </si>
  <si>
    <t xml:space="preserve">Lengkapi identitas Anda</t>
  </si>
  <si>
    <t xml:space="preserve">Data ini diperlukan agar akses instansi dan identitas akun dapat diverifikasi.</t>
  </si>
  <si>
    <t xml:space="preserve">Kami perlu data ini untuk memastikan akun Anda terhubung ke sekolah yang benar.</t>
  </si>
  <si>
    <t xml:space="preserve">Nama Lengkap</t>
  </si>
  <si>
    <t xml:space="preserve">Nama Instansi</t>
  </si>
  <si>
    <t xml:space="preserve">NIP / NUPTK</t>
  </si>
  <si>
    <t xml:space="preserve">NIP atau NUPTK</t>
  </si>
  <si>
    <t xml:space="preserve">Jabatan</t>
  </si>
  <si>
    <t xml:space="preserve">Nomor Telepon</t>
  </si>
  <si>
    <t xml:space="preserve">Nomor HP/WA</t>
  </si>
  <si>
    <t xml:space="preserve">Email</t>
  </si>
  <si>
    <t xml:space="preserve">Mulai Menjabat</t>
  </si>
  <si>
    <t xml:space="preserve">Mulai menjabat</t>
  </si>
  <si>
    <t xml:space="preserve">Akhir Masa Tugas</t>
  </si>
  <si>
    <t xml:space="preserve">Akhir masa tugas</t>
  </si>
  <si>
    <t xml:space="preserve">Tahun Ajaran Aktif</t>
  </si>
  <si>
    <t xml:space="preserve">Tahun ajaran berjalan</t>
  </si>
  <si>
    <t xml:space="preserve">Semester Aktif</t>
  </si>
  <si>
    <t xml:space="preserve">Semester berjalan</t>
  </si>
  <si>
    <t xml:space="preserve">-- Pilih semester --</t>
  </si>
  <si>
    <t xml:space="preserve">Pilih semester</t>
  </si>
  <si>
    <t xml:space="preserve">Semester 1</t>
  </si>
  <si>
    <t xml:space="preserve">Semester 2</t>
  </si>
  <si>
    <t xml:space="preserve">NPSN Sekolah</t>
  </si>
  <si>
    <t xml:space="preserve">NPSN</t>
  </si>
  <si>
    <t xml:space="preserve">Nomor SK Pengangkatan</t>
  </si>
  <si>
    <t xml:space="preserve">Nomor SK pengangkatan</t>
  </si>
  <si>
    <t xml:space="preserve">Instansi ditetapkan oleh Super Admin. Kepala Sekolah hanya dapat melengkapi identitas dan tidak dapat memindahkan akun ke sekolah lain.</t>
  </si>
  <si>
    <t xml:space="preserve">Sekolah Anda sudah ditetapkan saat pendaftaran. Di sini Anda hanya melengkapi identitas.</t>
  </si>
  <si>
    <t xml:space="preserve">Simpan &amp; Masuk Portal</t>
  </si>
  <si>
    <t xml:space="preserve">Simpan dan masuk</t>
  </si>
  <si>
    <t xml:space="preserve">Pergantian tahun ajaran bisa Anda perbarui langsung di sini.</t>
  </si>
  <si>
    <t xml:space="preserve">Ganti tahun ajaran di sini saat tahun ajaran baru dimulai.</t>
  </si>
  <si>
    <t xml:space="preserve">Perpindahan kelas atau instansi perlu diajukan dan menunggu persetujuan Super Admin sebelum aktif.</t>
  </si>
  <si>
    <t xml:space="preserve">Pindah kelas atau sekolah perlu persetujuan admin sekolah.</t>
  </si>
  <si>
    <t xml:space="preserve">Sesuai alur baru</t>
  </si>
  <si>
    <t xml:space="preserve">Profil Guru</t>
  </si>
  <si>
    <t xml:space="preserve">Profil saya</t>
  </si>
  <si>
    <t xml:space="preserve">Profil Sekolah</t>
  </si>
  <si>
    <t xml:space="preserve">Profil sekolah</t>
  </si>
  <si>
    <t xml:space="preserve">Ajukan Pindah Instansi</t>
  </si>
  <si>
    <t xml:space="preserve">Ajukan pindah sekolah</t>
  </si>
  <si>
    <t xml:space="preserve">Identitas Bersama Instansi</t>
  </si>
  <si>
    <t xml:space="preserve">Data sekolah (dipakai semua guru)</t>
  </si>
  <si>
    <t xml:space="preserve">Data ini dipakai sebagai KOP dokumen seluruh guru di sekolah ini.</t>
  </si>
  <si>
    <t xml:space="preserve">Data ini menjadi kop dokumen semua guru di sekolah Anda.</t>
  </si>
  <si>
    <t xml:space="preserve">Nama Dinas</t>
  </si>
  <si>
    <t xml:space="preserve">Nama dinas</t>
  </si>
  <si>
    <t xml:space="preserve">Logo Dinas</t>
  </si>
  <si>
    <t xml:space="preserve">Logo dinas</t>
  </si>
  <si>
    <t xml:space="preserve">Logo Sekolah (Opsional)</t>
  </si>
  <si>
    <t xml:space="preserve">Logo sekolah (opsional)</t>
  </si>
  <si>
    <t xml:space="preserve">Opsional. Biarkan kosong jika sekolah tidak memiliki logo.</t>
  </si>
  <si>
    <t xml:space="preserve">Kosongkan bila sekolah belum punya logo.</t>
  </si>
  <si>
    <t xml:space="preserve">Alamat Lengkap</t>
  </si>
  <si>
    <t xml:space="preserve">Alamat</t>
  </si>
  <si>
    <t xml:space="preserve">Desa/Kelurahan</t>
  </si>
  <si>
    <t xml:space="preserve">Desa/kelurahan</t>
  </si>
  <si>
    <t xml:space="preserve">Kabupaten/Kota</t>
  </si>
  <si>
    <t xml:space="preserve">Provinsi</t>
  </si>
  <si>
    <t xml:space="preserve">Kode Pos</t>
  </si>
  <si>
    <t xml:space="preserve">Kode pos</t>
  </si>
  <si>
    <t xml:space="preserve">Email Sekolah</t>
  </si>
  <si>
    <t xml:space="preserve">Email sekolah</t>
  </si>
  <si>
    <t xml:space="preserve">First save wins.</t>
  </si>
  <si>
    <t xml:space="preserve">(dihapus)</t>
  </si>
  <si>
    <t xml:space="preserve">Profil sekolah dikelola admin/kepala sekolah</t>
  </si>
  <si>
    <t xml:space="preserve">Setelah satu guru berhasil menyimpan, data menjadi profil bersama dan tidak dapat diubah guru.</t>
  </si>
  <si>
    <t xml:space="preserve">Profil sekolah dikelola admin dan kepala sekolah. Bila ada yang salah, ajukan koreksi.</t>
  </si>
  <si>
    <t xml:space="preserve">Kepala Sekolah dapat memeriksa, mengonfirmasi, dan memperbaruinya melalui Portal Kepala Sekolah.</t>
  </si>
  <si>
    <t xml:space="preserve">Kepala sekolah memeriksa dan mengonfirmasi koreksi Anda.</t>
  </si>
  <si>
    <t xml:space="preserve">Simpan Profil Sekolah</t>
  </si>
  <si>
    <t xml:space="preserve">Simpan profil sekolah</t>
  </si>
  <si>
    <t xml:space="preserve">Hubungi Admin</t>
  </si>
  <si>
    <t xml:space="preserve">Minta bantuan</t>
  </si>
  <si>
    <t xml:space="preserve">Kirim Pesan</t>
  </si>
  <si>
    <t xml:space="preserve">Kirim</t>
  </si>
  <si>
    <t xml:space="preserve">Kotak Masuk Saya</t>
  </si>
  <si>
    <t xml:space="preserve">Pesan saya</t>
  </si>
  <si>
    <t xml:space="preserve">Buat Pesan Baru</t>
  </si>
  <si>
    <t xml:space="preserve">Tulis pesan</t>
  </si>
  <si>
    <t xml:space="preserve">Edit Pesan Siaran</t>
  </si>
  <si>
    <t xml:space="preserve">Pilih Judul Papan</t>
  </si>
  <si>
    <t xml:space="preserve">Jenis kabar</t>
  </si>
  <si>
    <t xml:space="preserve">Informasi</t>
  </si>
  <si>
    <t xml:space="preserve">PENGUMUMAN PENTING</t>
  </si>
  <si>
    <t xml:space="preserve">Penting</t>
  </si>
  <si>
    <t xml:space="preserve">INFO KURIKULUM</t>
  </si>
  <si>
    <t xml:space="preserve">Kurikulum</t>
  </si>
  <si>
    <t xml:space="preserve">QUOTE EDUNEXA HARI INI</t>
  </si>
  <si>
    <t xml:space="preserve">Hiasan</t>
  </si>
  <si>
    <t xml:space="preserve">TIPS &amp; MOTIVASI</t>
  </si>
  <si>
    <t xml:space="preserve">Isi Pesan / Pengumuman</t>
  </si>
  <si>
    <t xml:space="preserve">Isi kabar</t>
  </si>
  <si>
    <t xml:space="preserve">Siarkan</t>
  </si>
  <si>
    <t xml:space="preserve">Kirim ke semua guru</t>
  </si>
  <si>
    <t xml:space="preserve">Keluar dari Portal?</t>
  </si>
  <si>
    <t xml:space="preserve">Keluar dari Sigrak?</t>
  </si>
  <si>
    <t xml:space="preserve">Anda yakin ingin keluar dari Portal EDUNEXA? Data yang telah tersimpan tidak akan terpengaruh.</t>
  </si>
  <si>
    <t xml:space="preserve">Data Anda tetap tersimpan.</t>
  </si>
  <si>
    <t xml:space="preserve">Ya, Keluar</t>
  </si>
  <si>
    <t xml:space="preserve">Keluar</t>
  </si>
  <si>
    <t xml:space="preserve">Sesi Diistirahatkan</t>
  </si>
  <si>
    <t xml:space="preserve">Anda masih di sana?</t>
  </si>
  <si>
    <t xml:space="preserve">Di desain baru sesi tidak diputus; teks ini hanya bila sesi benar-benar habis</t>
  </si>
  <si>
    <t xml:space="preserve">Untuk menghemat sumber daya server, koneksi Anda diputus sementara karena tidak ada aktivitas selama 15 menit.</t>
  </si>
  <si>
    <t xml:space="preserve">Sudah 15 menit tidak ada aktivitas. Isian Anda tersimpan otomatis.</t>
  </si>
  <si>
    <t xml:space="preserve">Data Anda aman.</t>
  </si>
  <si>
    <t xml:space="preserve">Lanjutkan Pekerjaan</t>
  </si>
  <si>
    <t xml:space="preserve">Lanjutkan</t>
  </si>
  <si>
    <t xml:space="preserve">Pilih Jenis Bank Soal</t>
  </si>
  <si>
    <t xml:space="preserve">Buat apa?</t>
  </si>
  <si>
    <t xml:space="preserve">Soal Evaluasi</t>
  </si>
  <si>
    <t xml:space="preserve">Soal</t>
  </si>
  <si>
    <t xml:space="preserve">Worksheet</t>
  </si>
  <si>
    <t xml:space="preserve">LKPD</t>
  </si>
  <si>
    <t xml:space="preserve">Lembar kerja siswa bergaya visual, siap cetak.</t>
  </si>
  <si>
    <t xml:space="preserve">Lembar kerja siswa siap cetak.</t>
  </si>
  <si>
    <t xml:space="preserve">Sesi Firebase terputus dan tidak pulih. Silakan login kembali agar data tidak dibaca sebagai akun anonim.</t>
  </si>
  <si>
    <t xml:space="preserve">Sesi Anda berakhir. Silakan masuk lagi agar data tersimpan di akun yang benar.</t>
  </si>
  <si>
    <t xml:space="preserve">Tanpa nama teknologi (Firebase)</t>
  </si>
  <si>
    <t xml:space="preserve">Pesan informasi</t>
  </si>
  <si>
    <t xml:space="preserve">Sesi login di perangkat ini sudah berubah -- kemungkinan ada yang login sebagai akun lain di tab/jendela lain pada browser yang sama. Silakan login kembali.</t>
  </si>
  <si>
    <t xml:space="preserve">Ada akun lain yang masuk di browser ini. Silakan masuk lagi dengan akun Anda.</t>
  </si>
  <si>
    <t xml:space="preserve">Konfirmasi</t>
  </si>
  <si>
    <t xml:space="preserve">Kelas ini sudah memiliki wali kelas terdaftar ({…}). Apakah Anda pengganti guru tersebut?</t>
  </si>
  <si>
    <t xml:space="preserve">Kelas ini sudah punya wali kelas ({…}). Apakah Anda menggantikan beliau?</t>
  </si>
  <si>
    <t xml:space="preserve">Galat formulir</t>
  </si>
  <si>
    <t xml:space="preserve">Isi nama paralel/rombel.</t>
  </si>
  <si>
    <t xml:space="preserve">Isi nama rombel, misalnya A atau B.</t>
  </si>
  <si>
    <t xml:space="preserve">Gagal menambah kelas: {…}</t>
  </si>
  <si>
    <t xml:space="preserve">Kelas belum berhasil ditambahkan. ({…})</t>
  </si>
  <si>
    <t xml:space="preserve">Gagal mengganti kelas: {…}</t>
  </si>
  <si>
    <t xml:space="preserve">Kelas belum berhasil diganti. ({…})</t>
  </si>
  <si>
    <t xml:space="preserve">Pilih minimal satu kelas.</t>
  </si>
  <si>
    <t xml:space="preserve">Kelas berhasil dikonfirmasi. Silakan login kembali dan pilih kelas tujuan.</t>
  </si>
  <si>
    <t xml:space="preserve">Kelas tersimpan. Silakan masuk lagi, lalu pilih kelas yang akan dibuka.</t>
  </si>
  <si>
    <t xml:space="preserve">Gagal menyimpan pilihan kelas:</t>
  </si>
  <si>
    <t xml:space="preserve">Pilihan kelas belum berhasil disimpan.</t>
  </si>
  <si>
    <t xml:space="preserve">Gunakan password baru minimal 6 karakter sebelum melanjutkan penggunaan akun.</t>
  </si>
  <si>
    <t xml:space="preserve">Buat kata sandi baru (minimal 8 karakter) sebelum melanjutkan.</t>
  </si>
  <si>
    <t xml:space="preserve">Usul: naikkan batas minimal ke 8 karakter</t>
  </si>
  <si>
    <t xml:space="preserve">Nama lengkap dan instansi wajib tersedia.</t>
  </si>
  <si>
    <t xml:space="preserve">Isi nama lengkap dan nama sekolah.</t>
  </si>
  <si>
    <t xml:space="preserve">Nomor telepon, mulai menjabat, dan tahun ajaran aktif wajib diisi.</t>
  </si>
  <si>
    <t xml:space="preserve">Isi nomor telepon, tanggal mulai menjabat, dan tahun ajaran aktif.</t>
  </si>
  <si>
    <t xml:space="preserve">Gagal menyimpan identitas:</t>
  </si>
  <si>
    <t xml:space="preserve">Identitas belum berhasil disimpan.</t>
  </si>
  <si>
    <t xml:space="preserve">Username dan Password wajib diisi!</t>
  </si>
  <si>
    <t xml:space="preserve">Isi nama pengguna dan kata sandi.</t>
  </si>
  <si>
    <t xml:space="preserve">Akun Firebase tidak cocok dengan UID akun portal. Hubungi Super Admin untuk sinkronisasi akun.</t>
  </si>
  <si>
    <t xml:space="preserve">Akun Anda perlu diperiksa oleh tim Sigrak. Hubungi kami lewat Minta Bantuan.</t>
  </si>
  <si>
    <t xml:space="preserve">UID dan Firebase tidak perlu diketahui guru</t>
  </si>
  <si>
    <t xml:space="preserve">Akun ini sedang nonaktif. Silakan hubungi pengelola instansi.</t>
  </si>
  <si>
    <t xml:space="preserve">Akun ini sedang dinonaktifkan. Hubungi admin sekolah Anda.</t>
  </si>
  <si>
    <t xml:space="preserve">Profil akun tidak ditemukan.</t>
  </si>
  <si>
    <t xml:space="preserve">Profil akun tidak ditemukan. Hubungi admin sekolah Anda.</t>
  </si>
  <si>
    <t xml:space="preserve">Error:</t>
  </si>
  <si>
    <t xml:space="preserve">Terjadi kendala. Coba lagi, atau hubungi kami bila terus terjadi.</t>
  </si>
  <si>
    <t xml:space="preserve">Jangan tampilkan kata "Error:" saja</t>
  </si>
  <si>
    <t xml:space="preserve">Profil Cloud belum dapat dimuat. Periksa koneksi atau izin akun, lalu coba lagi.</t>
  </si>
  <si>
    <t xml:space="preserve">Profil belum berhasil dimuat. Periksa koneksi, lalu coba lagi.</t>
  </si>
  <si>
    <t xml:space="preserve">Anda masih punya pengajuan pindah instansi yang menunggu persetujuan Super Admin. Batalkan dulu pengajuan itu kalau mau mengajukan yang baru.</t>
  </si>
  <si>
    <t xml:space="preserve">Anda masih punya pengajuan pindah sekolah yang belum diputuskan. Batalkan dulu bila ingin mengajukan yang baru.</t>
  </si>
  <si>
    <t xml:space="preserve">Sesuai alur baru, persetujuan oleh admin sekolah tujuan</t>
  </si>
  <si>
    <t xml:space="preserve">Isi nama instansi tujuan.</t>
  </si>
  <si>
    <t xml:space="preserve">Isi nama sekolah tujuan.</t>
  </si>
  <si>
    <t xml:space="preserve">Itu instansi Anda saat ini.</t>
  </si>
  <si>
    <t xml:space="preserve">Itu sekolah Anda saat ini. Pilih sekolah lain.</t>
  </si>
  <si>
    <t xml:space="preserve">Pengajuan pindah instansi terkirim dan menunggu persetujuan Super Admin. Instansi Anda tetap seperti semula sampai disetujui.</t>
  </si>
  <si>
    <t xml:space="preserve">Pengajuan pindah sekolah terkirim. Sekolah Anda belum berubah sampai pengajuan disetujui.</t>
  </si>
  <si>
    <t xml:space="preserve">Centang minimal satu kelas yang diampu dari database instansi.</t>
  </si>
  <si>
    <t xml:space="preserve">Centang minimal satu kelas yang Anda ajar.</t>
  </si>
  <si>
    <t xml:space="preserve">Pilih atau isi mata pelajaran yang diampu.</t>
  </si>
  <si>
    <t xml:space="preserve">Pilih atau ketik mata pelajaran yang Anda ajar.</t>
  </si>
  <si>
    <t xml:space="preserve">Nama Kepala Sekolah wajib diisi agar identitas pada dokumen cetak lengkap.</t>
  </si>
  <si>
    <t xml:space="preserve">Isi nama kepala sekolah agar kop dan tanda tangan dokumen lengkap.</t>
  </si>
  <si>
    <t xml:space="preserve">Tanggal Mulai Semester Genap harus setelah Tanggal Mulai Tahun Ajaran.</t>
  </si>
  <si>
    <t xml:space="preserve">Tanggal mulai semester genap harus setelah tanggal mulai tahun ajaran.</t>
  </si>
  <si>
    <t xml:space="preserve">Anda masih punya pengajuan perubahan kelas yang menunggu persetujuan Super Admin. Tunggu itu diproses dulu sebelum mengajukan perubahan kelas lagi.</t>
  </si>
  <si>
    <t xml:space="preserve">Pengajuan ganti kelas Anda masih diproses. Tunggu keputusannya sebelum mengajukan lagi.</t>
  </si>
  <si>
    <t xml:space="preserve">Perubahan kelas perlu persetujuan Super Admin sebelum aktif. Kelas Anda tetap seperti semula sampai disetujui. Kirim pengajuan sekarang?</t>
  </si>
  <si>
    <t xml:space="preserve">Ganti kelas perlu persetujuan admin sekolah. Sampai disetujui, Anda tetap di kelas sekarang. Kirim pengajuan?</t>
  </si>
  <si>
    <t xml:space="preserve">Pengajuan perubahan kelas terkirim dan menunggu persetujuan Super Admin. Kelas Anda tetap seperti semula sampai disetujui -- field lain yang Anda ubah (alamat, dst) belum ikut tersimpan, silakan simpan lagi tanpa mengganti kelas kalau perlu.</t>
  </si>
  <si>
    <t xml:space="preserve">Pengajuan ganti kelas terkirim. Perubahan lain di profil (misalnya alamat) belum tersimpan; simpan lagi tanpa mengganti kelas.</t>
  </si>
  <si>
    <t xml:space="preserve">Profil tersimpan, tetapi Anda belum tersambung sebagai pengampu kelas ini karena sudah ada wali kelas terdaftar. Pastikan kelas yang dipilih benar, atau hubungi Admin untuk memindahkan status wali kelas.</t>
  </si>
  <si>
    <t xml:space="preserve">Profil tersimpan, tetapi kelas ini sudah punya wali kelas. Periksa pilihan kelas, atau minta admin sekolah memindahkan status wali kelas.</t>
  </si>
  <si>
    <t xml:space="preserve">Pilih minimal satu kelas yang diampu.</t>
  </si>
  <si>
    <t xml:space="preserve">Pilih minimal satu kelas yang Anda ajar.</t>
  </si>
  <si>
    <t xml:space="preserve">Profil dan kelas berhasil disimpan. Silakan login kembali untuk memilih kelas tujuan.</t>
  </si>
  <si>
    <t xml:space="preserve">Profil dan kelas tersimpan. Silakan masuk lagi untuk memilih kelas.</t>
  </si>
  <si>
    <t xml:space="preserve">Profil tersimpan. {…}</t>
  </si>
  <si>
    <t xml:space="preserve">Profil Sekolah sudah dikonfirmasi Kepala Sekolah dan tetap digunakan otomatis untuk KOP dokumen. Formulir hanya dapat dibuka melalui Portal Kepala Sekolah.</t>
  </si>
  <si>
    <t xml:space="preserve">Profil sekolah sudah dikonfirmasi kepala sekolah dan dipakai untuk kop dokumen. Perubahan dilakukan oleh admin atau kepala sekolah.</t>
  </si>
  <si>
    <t xml:space="preserve">Sesi atau identitas instansi tidak tersedia. Silakan login ulang.</t>
  </si>
  <si>
    <t xml:space="preserve">Sesi Anda berakhir. Silakan masuk lagi.</t>
  </si>
  <si>
    <t xml:space="preserve">Lengkapi: {…}.</t>
  </si>
  <si>
    <t xml:space="preserve">Format email sekolah belum benar.</t>
  </si>
  <si>
    <t xml:space="preserve">Format email belum benar. Periksa tanda @ dan titiknya.</t>
  </si>
  <si>
    <t xml:space="preserve">Profil Sekolah sudah dikonfirmasi Kepala Sekolah sehingga tidak bisa diubah dari akun guru.</t>
  </si>
  <si>
    <t xml:space="preserve">Profil sekolah sudah dikonfirmasi kepala sekolah, jadi tidak bisa diubah dari akun guru. Ajukan koreksi bila ada yang salah.</t>
  </si>
  <si>
    <t xml:space="preserve">Profil Sekolah berhasil disimpan dan sekarang digunakan seluruh guru dalam instansi untuk KOP dokumen. Data menunggu konfirmasi Kepala Sekolah.</t>
  </si>
  <si>
    <t xml:space="preserve">Profil sekolah tersimpan dan dipakai sebagai kop dokumen semua guru. Kepala sekolah akan mengonfirmasinya.</t>
  </si>
  <si>
    <t xml:space="preserve">Profil Sekolah gagal disimpan: {…}</t>
  </si>
  <si>
    <t xml:space="preserve">Profil sekolah belum berhasil disimpan. ({…})</t>
  </si>
  <si>
    <t xml:space="preserve">Password saat ini wajib diisi</t>
  </si>
  <si>
    <t xml:space="preserve">Isi kata sandi saat ini.</t>
  </si>
  <si>
    <t xml:space="preserve">Konfirmasi password tidak cocok!</t>
  </si>
  <si>
    <t xml:space="preserve">Kedua kata sandi belum sama.</t>
  </si>
  <si>
    <t xml:space="preserve">Password minimal 6 karakter!</t>
  </si>
  <si>
    <t xml:space="preserve">Kata sandi minimal 8 karakter.</t>
  </si>
  <si>
    <t xml:space="preserve">Usul batas 8</t>
  </si>
  <si>
    <t xml:space="preserve">Password saat ini tetap salah. Bila lupa, minta admin mereset password Anda.</t>
  </si>
  <si>
    <t xml:space="preserve">Kata sandi saat ini salah. Bila lupa, minta admin sekolah mengatur ulang.</t>
  </si>
  <si>
    <t xml:space="preserve">Password berhasil diubah!</t>
  </si>
  <si>
    <t xml:space="preserve">Kata sandi diganti.</t>
  </si>
  <si>
    <t xml:space="preserve">Notifikasi singkat</t>
  </si>
  <si>
    <t xml:space="preserve">Password Anda SUDAH berubah. Gunakan password baru ini untuk login berikutnya. Karena sinyal, penanda belum tersimpan: bila peringatan ganti password muncul lagi, ulangi sekali dengan password yang sama.</t>
  </si>
  <si>
    <t xml:space="preserve">Kata sandi Anda sudah diganti. Gunakan kata sandi baru saat masuk berikutnya. Bila diminta mengganti lagi, ulangi dengan kata sandi yang sama.</t>
  </si>
  <si>
    <t xml:space="preserve">Gagal mengubah password:</t>
  </si>
  <si>
    <t xml:space="preserve">Kata sandi belum berhasil diganti.</t>
  </si>
  <si>
    <t xml:space="preserve">Pilih minimal satu dokumen.</t>
  </si>
  <si>
    <t xml:space="preserve">Belum ada pemberitahuan aktif dari Kepala Sekolah.</t>
  </si>
  <si>
    <t xml:space="preserve">Belum ada kabar dari kepala sekolah.</t>
  </si>
  <si>
    <t xml:space="preserve">Pemberitahuan demo ditandai sudah dibaca. Tidak ada data yang dikirim ke server.</t>
  </si>
  <si>
    <t xml:space="preserve">Kabar contoh ditandai sudah dibaca. Mode Contoh tidak mengirim data.</t>
  </si>
  <si>
    <t xml:space="preserve">Konfirmasi telah dikirim kepada Kepala Sekolah.</t>
  </si>
  <si>
    <t xml:space="preserve">Konfirmasi terkirim ke kepala sekolah.</t>
  </si>
  <si>
    <t xml:space="preserve">Gagal mengirim konfirmasi: {…}</t>
  </si>
  <si>
    <t xml:space="preserve">Konfirmasi belum terkirim. ({…})</t>
  </si>
  <si>
    <t xml:space="preserve">Menu ini khusus Super Admin.</t>
  </si>
  <si>
    <t xml:space="preserve">Menu ini hanya untuk tim Sigrak.</t>
  </si>
  <si>
    <t xml:space="preserve">Pengajuan tidak ditemukan (mungkin sudah diproses).</t>
  </si>
  <si>
    <t xml:space="preserve">Pengajuan tidak ditemukan. Mungkin sudah diproses.</t>
  </si>
  <si>
    <t xml:space="preserve">Pengajuan ini sudah diproses sebelumnya.</t>
  </si>
  <si>
    <t xml:space="preserve">Pengajuan ini sudah diproses.</t>
  </si>
  <si>
    <t xml:space="preserve">Setujui pengajuan {…} dari {…}? Perubahan akan langsung aktif di akun tersebut.</t>
  </si>
  <si>
    <t xml:space="preserve">Setujui pengajuan {…} dari {…}? Perubahan langsung berlaku di akunnya.</t>
  </si>
  <si>
    <t xml:space="preserve">Menerapkan perubahan...</t>
  </si>
  <si>
    <t xml:space="preserve">Menerapkan perubahan…</t>
  </si>
  <si>
    <t xml:space="preserve">Pengajuan disetujui dan perubahan sudah diterapkan.</t>
  </si>
  <si>
    <t xml:space="preserve">Pengajuan disetujui dan sudah berlaku.</t>
  </si>
  <si>
    <t xml:space="preserve">Gagal menerapkan perubahan:</t>
  </si>
  <si>
    <t xml:space="preserve">Perubahan belum berhasil diterapkan.</t>
  </si>
  <si>
    <t xml:space="preserve">Tolak pengajuan {…} dari {…}? Akun tetap di kelas/instansi semula.</t>
  </si>
  <si>
    <t xml:space="preserve">Tolak pengajuan {…} dari {…}? Akunnya tetap di kelas dan sekolah semula.</t>
  </si>
  <si>
    <t xml:space="preserve">Gagal menolak pengajuan:</t>
  </si>
  <si>
    <t xml:space="preserve">Pengajuan belum berhasil ditolak.</t>
  </si>
  <si>
    <t xml:space="preserve">Username hanya boleh memakai huruf, angka, garis bawah, atau tanda hubung.</t>
  </si>
  <si>
    <t xml:space="preserve">Nama pengguna hanya boleh berisi huruf, angka, garis bawah (_), atau tanda hubung (-).</t>
  </si>
  <si>
    <t xml:space="preserve">Username sudah terdaftar!</t>
  </si>
  <si>
    <t xml:space="preserve">Nama pengguna ini sudah dipakai. Coba yang lain.</t>
  </si>
  <si>
    <t xml:space="preserve">User {…} berhasil didaftarkan! Password default: edunexa</t>
  </si>
  <si>
    <t xml:space="preserve">Akun {…} dibuat. Undangan masuk sudah dikirim.</t>
  </si>
  <si>
    <t xml:space="preserve">Ganti alur password bawaan dengan undangan</t>
  </si>
  <si>
    <t xml:space="preserve">Gagal menambah user:</t>
  </si>
  <si>
    <t xml:space="preserve">Akun belum berhasil dibuat.</t>
  </si>
  <si>
    <t xml:space="preserve">Ini akan membandingkan data users/ (sumber utama) dengan institution_members/ (yang dibaca dashboard Kepala Sekolah), lalu memperbaiki yang tidak cocok: entri lama yang datanya sudah tidak ada akan dihapus, dan entri yang hilang/berbeda akan dibuat ulang.</t>
  </si>
  <si>
    <t xml:space="preserve">Periksa kecocokan data anggota sekolah? Data yang sudah tidak ada akan dihapus dari daftar, dan data yang hilang akan dibuat ulang.</t>
  </si>
  <si>
    <t xml:space="preserve">Konsol internal; nama koleksi disembunyikan</t>
  </si>
  <si>
    <t xml:space="preserve">Sinkronisasi selesai. {…} entri lama dihapus, {…} entri diperbaiki/dibuat ulang.</t>
  </si>
  <si>
    <t xml:space="preserve">Pemeriksaan selesai: {…} data lama dihapus, {…} data diperbaiki.</t>
  </si>
  <si>
    <t xml:space="preserve">Sinkronisasi gagal:</t>
  </si>
  <si>
    <t xml:space="preserve">Pemeriksaan data belum berhasil.</t>
  </si>
  <si>
    <t xml:space="preserve">Anda tidak bisa menonaktifkan akun sendiri.</t>
  </si>
  <si>
    <t xml:space="preserve">{…} akun {…}? Data akademik tetap tersimpan.</t>
  </si>
  <si>
    <t xml:space="preserve">{…} akun {…}? Data akademiknya tetap tersimpan.</t>
  </si>
  <si>
    <t xml:space="preserve">Gagal mengubah status akun.</t>
  </si>
  <si>
    <t xml:space="preserve">Status akun belum berhasil diubah.</t>
  </si>
  <si>
    <t xml:space="preserve">Akun tidak ditemukan.</t>
  </si>
  <si>
    <t xml:space="preserve">Gagal membuka data akun:</t>
  </si>
  <si>
    <t xml:space="preserve">Data akun belum berhasil dibuka.</t>
  </si>
  <si>
    <t xml:space="preserve">Username, nama, dan instansi wajib diisi.</t>
  </si>
  <si>
    <t xml:space="preserve">Isi nama pengguna, nama, dan sekolah.</t>
  </si>
  <si>
    <t xml:space="preserve">Role akun Super Admin yang sedang digunakan tidak dapat diturunkan.</t>
  </si>
  <si>
    <t xml:space="preserve">Peran akun admin yang sedang Anda pakai tidak bisa diturunkan.</t>
  </si>
  <si>
    <t xml:space="preserve">Akun dan keterkaitan data modul berhasil diperbarui.</t>
  </si>
  <si>
    <t xml:space="preserve">Akun dan data terkaitnya diperbarui.</t>
  </si>
  <si>
    <t xml:space="preserve">Gagal menyimpan perubahan:</t>
  </si>
  <si>
    <t xml:space="preserve">Perubahan belum berhasil disimpan.</t>
  </si>
  <si>
    <t xml:space="preserve">Akun Super Admin yang sedang digunakan tidak dapat dihapus.</t>
  </si>
  <si>
    <t xml:space="preserve">Akun admin yang sedang Anda pakai tidak bisa dihapus.</t>
  </si>
  <si>
    <t xml:space="preserve">Akun {…} beserta seluruh data cloud-nya akan dihapus permanen. Akun ini tidak akan bisa login lagi.</t>
  </si>
  <si>
    <t xml:space="preserve">Hapus akun {…}? Semua datanya ikut terhapus dan akun ini tidak bisa masuk lagi.</t>
  </si>
  <si>
    <t xml:space="preserve">Menghapus akun...</t>
  </si>
  <si>
    <t xml:space="preserve">Menghapus akun…</t>
  </si>
  <si>
    <t xml:space="preserve">Akun {…} sudah tidak bisa login lagi. Sebagian arsip lama belum dapat dibersihkan otomatis: {…}.{…}</t>
  </si>
  <si>
    <t xml:space="preserve">Akun {…} sudah tidak bisa masuk. Sebagian dokumen lama belum terhapus: {…}.</t>
  </si>
  <si>
    <t xml:space="preserve">Akun {…} sudah tidak bisa login lagi dan seluruh data cloud personalnya telah dihapus.{…}</t>
  </si>
  <si>
    <t xml:space="preserve">Akun {…} dan semua datanya sudah dihapus.</t>
  </si>
  <si>
    <t xml:space="preserve">Penghapusan belum selesai:</t>
  </si>
  <si>
    <t xml:space="preserve">Penghapusan belum selesai.</t>
  </si>
  <si>
    <t xml:space="preserve">Tidak dapat mereset password akun Super Admin yang sedang digunakan sendiri.</t>
  </si>
  <si>
    <t xml:space="preserve">Anda tidak bisa mengatur ulang kata sandi akun yang sedang dipakai. Gunakan menu Akun &gt; Kata Sandi.</t>
  </si>
  <si>
    <t xml:space="preserve">Password akun {…} akan direset ke password default ("edunexa"). Pengguna akan diminta ganti password saat login berikutnya.</t>
  </si>
  <si>
    <t xml:space="preserve">Kirim tautan atur ulang kata sandi ke {…}? Pengguna membuat kata sandi baru sendiri.</t>
  </si>
  <si>
    <t xml:space="preserve">Ganti reset ke password bawaan "edunexa"</t>
  </si>
  <si>
    <t xml:space="preserve">Mereset password...</t>
  </si>
  <si>
    <t xml:space="preserve">Mengirim tautan…</t>
  </si>
  <si>
    <t xml:space="preserve">Password akun {…} berhasil direset ke "edunexa". Sampaikan ke penggunanya untuk login dengan password itu, lalu segera menggantinya.</t>
  </si>
  <si>
    <t xml:space="preserve">Tautan atur ulang kata sandi untuk {…} sudah dikirim.</t>
  </si>
  <si>
    <t xml:space="preserve">Reset password belum selesai:</t>
  </si>
  <si>
    <t xml:space="preserve">Atur ulang kata sandi belum selesai.</t>
  </si>
  <si>
    <t xml:space="preserve">Tanggal awal tidak boleh melewati tanggal akhir.</t>
  </si>
  <si>
    <t xml:space="preserve">Tanggal awal harus sama dengan atau sebelum tanggal akhir.</t>
  </si>
  <si>
    <t xml:space="preserve">Akses tidak tersedia.</t>
  </si>
  <si>
    <t xml:space="preserve">Anda tidak punya akses ke halaman ini.</t>
  </si>
  <si>
    <t xml:space="preserve">Guru tidak termasuk dalam cakupan instansi Anda.</t>
  </si>
  <si>
    <t xml:space="preserve">Guru ini bukan bagian dari sekolah Anda.</t>
  </si>
  <si>
    <t xml:space="preserve">Instansi tidak ditemukan.</t>
  </si>
  <si>
    <t xml:space="preserve">Sekolah tidak ditemukan.</t>
  </si>
  <si>
    <t xml:space="preserve">Kenaikan kelas sekarang ditetapkan langsung oleh wali kelas di menu Administrasi → Kenaikan. Portal hanya menampilkan statusnya.</t>
  </si>
  <si>
    <t xml:space="preserve">Kenaikan kelas ditetapkan wali kelas di Kelas Saya &gt; Siswa &gt; Kenaikan. Di sini hanya ditampilkan statusnya.</t>
  </si>
  <si>
    <t xml:space="preserve">Gagal mengubah siaran:</t>
  </si>
  <si>
    <t xml:space="preserve">Kabar belum berhasil diubah.</t>
  </si>
  <si>
    <t xml:space="preserve">Pesan tidak boleh kosong!</t>
  </si>
  <si>
    <t xml:space="preserve">Tulis pesan Anda.</t>
  </si>
  <si>
    <t xml:space="preserve">Pesan berhasil dikirim ke Admin!</t>
  </si>
  <si>
    <t xml:space="preserve">Pesan terkirim. Kami akan membalas lewat Kabar.</t>
  </si>
  <si>
    <t xml:space="preserve">Gagal mengirim pesan:</t>
  </si>
  <si>
    <t xml:space="preserve">Pesan belum terkirim. Coba lagi.</t>
  </si>
  <si>
    <t xml:space="preserve">Balasan tidak boleh kosong!</t>
  </si>
  <si>
    <t xml:space="preserve">Tulis balasan Anda.</t>
  </si>
  <si>
    <t xml:space="preserve">Gagal mengirim balasan:</t>
  </si>
  <si>
    <t xml:space="preserve">Balasan belum terkirim. Coba lagi.</t>
  </si>
  <si>
    <t xml:space="preserve">Pesan ini akan dihapus dari database.</t>
  </si>
  <si>
    <t xml:space="preserve">Hapus pesan ini? Pesan yang dihapus tidak bisa dikembalikan.</t>
  </si>
  <si>
    <t xml:space="preserve">Gagal menghapus:</t>
  </si>
  <si>
    <t xml:space="preserve">Belum berhasil dihapus.</t>
  </si>
  <si>
    <t xml:space="preserve">❌ Belum ada API Key yang tersimpan. Silakan isi form "Profil Akademik" dengan API Key Anda dan klik Simpan.</t>
  </si>
  <si>
    <t xml:space="preserve">Belum ada kunci AI. Tambahkan di Akun &gt; Kunci AI Saya.</t>
  </si>
  <si>
    <t xml:space="preserve">Tanpa emoji</t>
  </si>
  <si>
    <t xml:space="preserve">✅ API Key tersimpan: {…} Status: SIAP DIGUNAKAN 🎉</t>
  </si>
  <si>
    <t xml:space="preserve">Kunci AI siap dipakai ({…}).</t>
  </si>
  <si>
    <t xml:space="preserve">Tanpa emoji dan huruf kapital</t>
  </si>
  <si>
    <t xml:space="preserve">Hapus API Key yang tersimpan? Anda akan perlu input API Key baru untuk melanjutkan.</t>
  </si>
  <si>
    <t xml:space="preserve">Hapus kunci AI? Fitur AI tidak bisa dipakai sampai Anda menambahkan kunci baru.</t>
  </si>
  <si>
    <t xml:space="preserve">✅ API Key dihapus. Silakan input API Key baru dan simpan.</t>
  </si>
  <si>
    <t xml:space="preserve">Kunci AI dihapus.</t>
  </si>
  <si>
    <t xml:space="preserve">Tambah Kelas Baru</t>
  </si>
  <si>
    <t xml:space="preserve">Kelas Aktif Diganti</t>
  </si>
  <si>
    <t xml:space="preserve">Kelas diganti</t>
  </si>
  <si>
    <t xml:space="preserve">Sekarang membuka {…}{…}.</t>
  </si>
  <si>
    <t xml:space="preserve">Kirim Pengajuan</t>
  </si>
  <si>
    <t xml:space="preserve">Kirim pengajuan</t>
  </si>
  <si>
    <t xml:space="preserve">Menyimpan Profil Sekolah</t>
  </si>
  <si>
    <t xml:space="preserve">Menyimpan profil sekolah…</t>
  </si>
  <si>
    <t xml:space="preserve">Profil Sudah Dikonfirmasi</t>
  </si>
  <si>
    <t xml:space="preserve">Profil sudah dikonfirmasi</t>
  </si>
  <si>
    <t xml:space="preserve">Profil Sekolah Tersimpan</t>
  </si>
  <si>
    <t xml:space="preserve">Profil sekolah disimpan</t>
  </si>
  <si>
    <t xml:space="preserve">Kembali ke Form</t>
  </si>
  <si>
    <t xml:space="preserve">Kembali ke formulir</t>
  </si>
  <si>
    <t xml:space="preserve">Konfirmasi Password Saat Ini</t>
  </si>
  <si>
    <t xml:space="preserve">Masukkan kata sandi saat ini</t>
  </si>
  <si>
    <t xml:space="preserve">Selesaikan Panduan Awal Dulu</t>
  </si>
  <si>
    <t xml:space="preserve">Selesaikan panduan awal dulu</t>
  </si>
  <si>
    <t xml:space="preserve">Buka Administrasi</t>
  </si>
  <si>
    <t xml:space="preserve">Buka Kelas Saya</t>
  </si>
  <si>
    <t xml:space="preserve">Nanti</t>
  </si>
  <si>
    <t xml:space="preserve">Proses Download Paket</t>
  </si>
  <si>
    <t xml:space="preserve">Menyiapkan unduhan…</t>
  </si>
  <si>
    <t xml:space="preserve">Paket Arsip Belum Bisa Dibuat</t>
  </si>
  <si>
    <t xml:space="preserve">Unduhan belum bisa disiapkan</t>
  </si>
  <si>
    <t xml:space="preserve">Download Paket Gagal</t>
  </si>
  <si>
    <t xml:space="preserve">Unduhan belum berhasil</t>
  </si>
  <si>
    <t xml:space="preserve">Pemberitahuan ({…})</t>
  </si>
  <si>
    <t xml:space="preserve">Kabar ({…})</t>
  </si>
  <si>
    <t xml:space="preserve">Generator RPM - EDUNEXA Pro</t>
  </si>
  <si>
    <t xml:space="preserve">RPM — Sigrak</t>
  </si>
  <si>
    <t xml:space="preserve">Buat Modul</t>
  </si>
  <si>
    <t xml:space="preserve">Buat RPM</t>
  </si>
  <si>
    <t xml:space="preserve">Mode Manual</t>
  </si>
  <si>
    <t xml:space="preserve">RPM lepas jadwal</t>
  </si>
  <si>
    <t xml:space="preserve">Modul mandiri</t>
  </si>
  <si>
    <t xml:space="preserve">Bank Modul</t>
  </si>
  <si>
    <t xml:space="preserve">Parameter Pembelajaran</t>
  </si>
  <si>
    <t xml:space="preserve">1. Kapan</t>
  </si>
  <si>
    <t xml:space="preserve">Alur 4 langkah</t>
  </si>
  <si>
    <t xml:space="preserve">Tanggal Mulai Modul</t>
  </si>
  <si>
    <t xml:space="preserve">Tanggal mulai</t>
  </si>
  <si>
    <t xml:space="preserve">Muat Ulang Jadwal</t>
  </si>
  <si>
    <t xml:space="preserve">Muat ulang jadwal</t>
  </si>
  <si>
    <t xml:space="preserve">Mata pelajaran akan disaring sesuai jadwal pada tanggal yang dipilih.</t>
  </si>
  <si>
    <t xml:space="preserve">Mata pelajaran muncul sesuai jadwal di tanggal ini.</t>
  </si>
  <si>
    <t xml:space="preserve">Jenjang SD/MI</t>
  </si>
  <si>
    <t xml:space="preserve">SD/MI</t>
  </si>
  <si>
    <t xml:space="preserve">Kelas -</t>
  </si>
  <si>
    <t xml:space="preserve">Kelas —</t>
  </si>
  <si>
    <t xml:space="preserve">Diisi dari kelas aktif</t>
  </si>
  <si>
    <t xml:space="preserve">Mata Pelajaran / Kegiatan</t>
  </si>
  <si>
    <t xml:space="preserve">Mata pelajaran atau kegiatan</t>
  </si>
  <si>
    <t xml:space="preserve">Jadwal Pembelajaran</t>
  </si>
  <si>
    <t xml:space="preserve">Jadwal</t>
  </si>
  <si>
    <t xml:space="preserve">Materi Pokok</t>
  </si>
  <si>
    <t xml:space="preserve">Materi pokok</t>
  </si>
  <si>
    <t xml:space="preserve">Data Kegiatan dari Administrasi</t>
  </si>
  <si>
    <t xml:space="preserve">Kegiatan kokurikuler</t>
  </si>
  <si>
    <t xml:space="preserve">Pilih jadwal kegiatan kokurikuler.</t>
  </si>
  <si>
    <t xml:space="preserve">Pilih jadwal kokurikuler.</t>
  </si>
  <si>
    <t xml:space="preserve">Jenis kegiatan, tema, dimensi profil lulusan, mata pelajaran terkait, dan parameter khusus dibaca otomatis dari Administrasi → Kurikulum.</t>
  </si>
  <si>
    <t xml:space="preserve">Jenis kegiatan, tema, dan dimensi diambil dari Rencana &gt; Kokurikuler.</t>
  </si>
  <si>
    <t xml:space="preserve">Pembelajaran Kolaboratif Lintas Disiplin</t>
  </si>
  <si>
    <t xml:space="preserve">Kolaboratif lintas disiplin</t>
  </si>
  <si>
    <t xml:space="preserve">Gerakan 7 KAIH</t>
  </si>
  <si>
    <t xml:space="preserve">Projek</t>
  </si>
  <si>
    <t xml:space="preserve">Informasi ATP</t>
  </si>
  <si>
    <t xml:space="preserve">2. Apa</t>
  </si>
  <si>
    <t xml:space="preserve">Progres Materi</t>
  </si>
  <si>
    <t xml:space="preserve">Lanjutan materi</t>
  </si>
  <si>
    <t xml:space="preserve">Buat modul baru/pengayaan</t>
  </si>
  <si>
    <t xml:space="preserve">Mulai materi baru atau pengayaan</t>
  </si>
  <si>
    <t xml:space="preserve">Lanjutkan progres materi</t>
  </si>
  <si>
    <t xml:space="preserve">Lanjutkan materi sebelumnya</t>
  </si>
  <si>
    <t xml:space="preserve">Fokus Materi</t>
  </si>
  <si>
    <t xml:space="preserve">Fokus materi</t>
  </si>
  <si>
    <t xml:space="preserve">Centang fokus yang akan diajarkan. JP setiap fokus berasal dari ATP dan tidak diubah pada generator.</t>
  </si>
  <si>
    <t xml:space="preserve">Centang fokus yang akan diajarkan. JP mengikuti ATP.</t>
  </si>
  <si>
    <t xml:space="preserve">Pilih minimal satu fokus materi.</t>
  </si>
  <si>
    <t xml:space="preserve">Jumlah Pertemuan Otomatis</t>
  </si>
  <si>
    <t xml:space="preserve">Jumlah pertemuan (otomatis)</t>
  </si>
  <si>
    <t xml:space="preserve">Durasi Otomatis</t>
  </si>
  <si>
    <t xml:space="preserve">Durasi (otomatis)</t>
  </si>
  <si>
    <t xml:space="preserve">Teknik Pedagogis Otomatis dari materi</t>
  </si>
  <si>
    <t xml:space="preserve">3. Cara</t>
  </si>
  <si>
    <t xml:space="preserve">Pertemuan 1</t>
  </si>
  <si>
    <t xml:space="preserve">Pembelajaran berbasis proyek (PjBL)</t>
  </si>
  <si>
    <t xml:space="preserve">Berbasis proyek (PjBL)</t>
  </si>
  <si>
    <t xml:space="preserve">Inkuiri &amp; Discovery Learning</t>
  </si>
  <si>
    <t xml:space="preserve">Inkuiri dan penemuan</t>
  </si>
  <si>
    <t xml:space="preserve">Problem Solving</t>
  </si>
  <si>
    <t xml:space="preserve">Pemecahan masalah</t>
  </si>
  <si>
    <t xml:space="preserve">Game Based Learning</t>
  </si>
  <si>
    <t xml:space="preserve">Berbasis permainan</t>
  </si>
  <si>
    <t xml:space="preserve">Diskusi kelompok &amp; eksplorasi</t>
  </si>
  <si>
    <t xml:space="preserve">Diskusi kelompok dan eksplorasi</t>
  </si>
  <si>
    <t xml:space="preserve">GENERATE MODUL</t>
  </si>
  <si>
    <t xml:space="preserve">Tombol utama, bukan huruf kapital semua</t>
  </si>
  <si>
    <t xml:space="preserve">Pra-tinjau (A4)</t>
  </si>
  <si>
    <t xml:space="preserve">4. Periksa</t>
  </si>
  <si>
    <t xml:space="preserve">Simpan ke Bank</t>
  </si>
  <si>
    <t xml:space="preserve">Lengkapi parameter di samping, lalu klik Generate untuk merakit modul.</t>
  </si>
  <si>
    <t xml:space="preserve">Isi langkah 1–3, lalu ketuk Buat RPM. Pratinjau akan muncul di sini.</t>
  </si>
  <si>
    <t xml:space="preserve">(baru)</t>
  </si>
  <si>
    <t xml:space="preserve">Buka di Canva</t>
  </si>
  <si>
    <t xml:space="preserve">Fitur baru</t>
  </si>
  <si>
    <t xml:space="preserve">Perbaiki bagian ini</t>
  </si>
  <si>
    <t xml:space="preserve">Fitur baru, per bagian RPM</t>
  </si>
  <si>
    <t xml:space="preserve">Penyimpanan RPM</t>
  </si>
  <si>
    <t xml:space="preserve">Dokumen Saya: RPM</t>
  </si>
  <si>
    <t xml:space="preserve">Modul berlabel "Tersimpan di Cloud" dapat dibuka dari perangkat mana pun dengan akun ini dan disimpan 2 tahun ajaran terakhir.</t>
  </si>
  <si>
    <t xml:space="preserve">RPM Anda tersimpan di akun dan bisa dibuka dari perangkat mana pun.</t>
  </si>
  <si>
    <t xml:space="preserve">Kebijakan masa simpan dijelaskan di Bantuan</t>
  </si>
  <si>
    <t xml:space="preserve">Gunakan Download Cadangan untuk perlindungan tambahan.</t>
  </si>
  <si>
    <t xml:space="preserve">Cadangan manual tidak diperlukan</t>
  </si>
  <si>
    <t xml:space="preserve">Cocokkan Tanggal dengan Isi (Kokurikuler Tahunan)</t>
  </si>
  <si>
    <t xml:space="preserve">Cocokkan tanggal kokurikuler</t>
  </si>
  <si>
    <t xml:space="preserve">Di desain baru otomatis</t>
  </si>
  <si>
    <t xml:space="preserve">Pilih Jenis Kegiatan, Tema, dan isi Bentuk Kegiatan Spesifik terlebih dahulu.</t>
  </si>
  <si>
    <t xml:space="preserve">Pilih jenis kegiatan dan tema, lalu tulis bentuk kegiatannya.</t>
  </si>
  <si>
    <t xml:space="preserve">Isi lengkap dokumen ini belum ada di Cloud. Buka EDUNEXA sekali di perangkat tempat modul ini dibuat agar isinya terunggah otomatis. Fokus: {…} · Tanggal pelaksanaan: {…}.</t>
  </si>
  <si>
    <t xml:space="preserve">Isi RPM ini masih tersimpan di perangkat lain. Buka Sigrak sekali di perangkat itu agar isinya terkirim. ({…}, {…})</t>
  </si>
  <si>
    <t xml:space="preserve">RPM tidak ditemukan atau sudah kedaluwarsa.</t>
  </si>
  <si>
    <t xml:space="preserve">RPM tidak ditemukan. Mungkin sudah dihapus.</t>
  </si>
  <si>
    <t xml:space="preserve">Gagal membuka RPM lokal.</t>
  </si>
  <si>
    <t xml:space="preserve">RPM belum berhasil dibuka.</t>
  </si>
  <si>
    <t xml:space="preserve">Dokumen akan dihapus dari Cloud dan dari penyimpanan lokal perangkat ini. Jika dokumen masih tersimpan di perangkat lain, salinan lokal di perangkat tersebut akan ikut dibersihkan saat Bank Modul tersinkron kembali.</t>
  </si>
  <si>
    <t xml:space="preserve">Hapus RPM ini? RPM akan hilang dari semua perangkat Anda.</t>
  </si>
  <si>
    <t xml:space="preserve">Mekanisme salinan lokal tidak perlu dijelaskan</t>
  </si>
  <si>
    <t xml:space="preserve">Dokumen belum dapat dihapus dari Cloud. Salinan lokal tidak dihapus agar data tetap konsisten.</t>
  </si>
  <si>
    <t xml:space="preserve">RPM belum berhasil dihapus. Periksa koneksi, lalu coba lagi.</t>
  </si>
  <si>
    <t xml:space="preserve">Dokumen berhasil dihapus dari Cloud dan perangkat ini. Perangkat lain akan membersihkan salinan lokalnya saat tersinkron kembali.</t>
  </si>
  <si>
    <t xml:space="preserve">RPM dihapus.</t>
  </si>
  <si>
    <t xml:space="preserve">Gagal menyelesaikan penghapusan dokumen. Silakan periksa koneksi dan coba kembali.</t>
  </si>
  <si>
    <t xml:space="preserve">Penghapusan belum selesai. Periksa koneksi, lalu coba lagi.</t>
  </si>
  <si>
    <t xml:space="preserve">Isi lengkap dokumen ini tidak tersimpan di perangkat ini, jadi tanggalnya tidak dapat dikoreksi dari sini.</t>
  </si>
  <si>
    <t xml:space="preserve">Tanggal RPM ini bisa diperbaiki dari perangkat tempat RPM dibuat.</t>
  </si>
  <si>
    <t xml:space="preserve">Perbaikan ini khusus modul Kokurikuler tahunan. Untuk modul Intrakurikuler, gunakan tombol "Perbaiki Tanggal" pada modul tersebut.</t>
  </si>
  <si>
    <t xml:space="preserve">Perbaikan ini untuk RPM kokurikuler tahunan. Untuk RPM biasa, pakai tombol Perbaiki Tanggal di RPM tersebut.</t>
  </si>
  <si>
    <t xml:space="preserve">Jadwal mingguan kokurikuler untuk kegiatan ini belum tersedia di Administrasi. Lengkapi jadwalnya dulu sebelum memperbaiki tanggal.</t>
  </si>
  <si>
    <t xml:space="preserve">Jadwal kokurikuler untuk kegiatan ini belum diisi. Isi dulu di Kelas Saya &gt; Jadwal.</t>
  </si>
  <si>
    <t xml:space="preserve">Tanggal mulai wajib diisi.</t>
  </si>
  <si>
    <t xml:space="preserve">Isi tanggal mulai.</t>
  </si>
  <si>
    <t xml:space="preserve">Tanggal harus berada di dalam TA {…}.</t>
  </si>
  <si>
    <t xml:space="preserve">Pilih tanggal di dalam tahun ajaran {…}.</t>
  </si>
  <si>
    <t xml:space="preserve">Tidak ada hari kokurikuler terjadwal sejak {…} sampai akhir TA {…}. Pilih tanggal mulai yang lebih awal.</t>
  </si>
  <si>
    <t xml:space="preserve">Tidak ada jadwal kokurikuler dari {…} sampai akhir tahun ajaran {…}. Pilih tanggal mulai yang lebih awal.</t>
  </si>
  <si>
    <t xml:space="preserve">Jadwal modul ini sudah sesuai dengan tanggal mulai tersebut. Tidak ada yang perlu diperbaiki.</t>
  </si>
  <si>
    <t xml:space="preserve">Jadwal RPM ini sudah sesuai. Tidak ada yang perlu diperbaiki.</t>
  </si>
  <si>
    <t xml:space="preserve">Jadwal kokurikuler diperbaiki: {…} – {…} · {…} pelaksanaan · {…} JP.{…}</t>
  </si>
  <si>
    <t xml:space="preserve">Jadwal kokurikuler diperbarui: {…}–{…}, {…} kali pelaksanaan, {…} JP.</t>
  </si>
  <si>
    <t xml:space="preserve">Gagal memperbaiki tanggal kokurikuler. Silakan coba lagi.</t>
  </si>
  <si>
    <t xml:space="preserve">Tanggal kokurikuler belum berhasil diperbaiki. Coba lagi.</t>
  </si>
  <si>
    <t xml:space="preserve">Mesin penjadwalan belum siap dimuat. Muat ulang halaman lalu coba lagi.</t>
  </si>
  <si>
    <t xml:space="preserve">Penjadwal belum siap. Muat ulang halaman, lalu coba lagi.</t>
  </si>
  <si>
    <t xml:space="preserve">Jadwal mingguan untuk mata pelajaran ini belum tersedia di Administrasi. Lengkapi jadwalnya dulu sebelum memperbaiki tanggal.</t>
  </si>
  <si>
    <t xml:space="preserve">Jadwal mingguan mata pelajaran ini belum diisi. Isi dulu di Kelas Saya &gt; Jadwal.</t>
  </si>
  <si>
    <t xml:space="preserve">Tanggal modul ini sudah sesuai dengan jadwal &amp; slot terkini. Tidak ada yang perlu diperbaiki.</t>
  </si>
  <si>
    <t xml:space="preserve">Tanggal RPM ini sudah sesuai jadwal. Tidak ada yang perlu diperbaiki.</t>
  </si>
  <si>
    <t xml:space="preserve">Tanggal modul berhasil diperbaiki menjadi {…}.{…}{…}</t>
  </si>
  <si>
    <t xml:space="preserve">Tanggal RPM diperbaiki menjadi {…}.</t>
  </si>
  <si>
    <t xml:space="preserve">Gagal memperbaiki tanggal modul. Silakan coba lagi.</t>
  </si>
  <si>
    <t xml:space="preserve">Tanggal RPM belum berhasil diperbaiki. Coba lagi.</t>
  </si>
  <si>
    <t xml:space="preserve">Memeriksa semua modul Kokurikuler Tahunan: kalau kolom "Tanggal Pelaksanaan" di Bank Modul berbeda dari tanggal yang tertanam di dalam isi dokumen, kolom itu (beserta jumlah pelaksanaan &amp; total JP) akan dikoreksi mengikuti isi dokumen. Isi dokumen (kegiatan, tabel jadwal, log pemantauan) TIDAK diubah dan TIDAK dipanggil ulang ke AI -- hanya metadata yang dikoreksi. Catatan: kalau ada Jurnal yang sudah tercatat berdasarkan tanggal LAMA yang salah, tautannya tidak otomatis ikut pindah dan mungkin perlu dicek manual. Lanjutkan?</t>
  </si>
  <si>
    <t xml:space="preserve">Cocokkan tanggal semua RPM kokurikuler tahunan dengan isinya? Isi RPM tidak berubah. Jurnal yang tercatat di tanggal lama perlu Anda periksa sendiri.</t>
  </si>
  <si>
    <t xml:space="preserve">Di desain baru diganti penyesuaian otomatis</t>
  </si>
  <si>
    <t xml:space="preserve">Selesai. Diperbaiki: {…} modul. Sudah sesuai (tidak diubah): {…} modul.{…}</t>
  </si>
  <si>
    <t xml:space="preserve">Selesai: {…} RPM diperbaiki, {…} RPM sudah sesuai.</t>
  </si>
  <si>
    <t xml:space="preserve">Tidak ada RPM final untuk disimpan!</t>
  </si>
  <si>
    <t xml:space="preserve">Belum ada RPM untuk disimpan. Buat RPM terlebih dahulu.</t>
  </si>
  <si>
    <t xml:space="preserve">Mata pelajaran/kegiatan, materi, atau tanggal sudah berubah sejak konten ini terakhir dibuat, sehingga isi RPM di layar belum mencerminkan pilihan terbaru. Klik "Buat RPM" / "Generate" ulang dahulu sebelum Menyimpan, supaya tanggal yang tersimpan di Bank Modul selalu sesuai dengan isi dokumennya.</t>
  </si>
  <si>
    <t xml:space="preserve">Pilihan Anda berubah sejak RPM ini dibuat. Buat ulang RPM agar isi dan tanggalnya sesuai, lalu simpan.</t>
  </si>
  <si>
    <t xml:space="preserve">RPM {…} sudah tersedia pada tanggal dan pembelajaran ini. Buka RPM tersebut agar tidak terjadi duplikasi.</t>
  </si>
  <si>
    <t xml:space="preserve">Sudah ada RPM {…} untuk tanggal dan pelajaran ini. Buka RPM tersebut agar tidak dobel.</t>
  </si>
  <si>
    <t xml:space="preserve">{…} modul berhasil dipulihkan.</t>
  </si>
  <si>
    <t xml:space="preserve">{…} RPM berhasil dipulihkan.</t>
  </si>
  <si>
    <t xml:space="preserve">Pilih mata pelajaran atau kegiatan terlebih dahulu.</t>
  </si>
  <si>
    <t xml:space="preserve">Pilih mata pelajaran atau kegiatan.</t>
  </si>
  <si>
    <t xml:space="preserve">Pilih Jenis Kegiatan Kokurikuler terlebih dahulu.</t>
  </si>
  <si>
    <t xml:space="preserve">Pilih jenis kegiatan kokurikuler.</t>
  </si>
  <si>
    <t xml:space="preserve">Pilih Tema kegiatan terlebih dahulu.</t>
  </si>
  <si>
    <t xml:space="preserve">Pilih tema kegiatan.</t>
  </si>
  <si>
    <t xml:space="preserve">Tuliskan Bentuk Kegiatan Spesifik secara konkret, misalnya “Pembacaan Yasin dan Tahlil”.</t>
  </si>
  <si>
    <t xml:space="preserve">Tulis bentuk kegiatan yang spesifik, misalnya "Pembacaan Yasin dan Tahlil".</t>
  </si>
  <si>
    <t xml:space="preserve">Data kegiatan kokurikuler belum lengkap. Buka Administrasi → Kurikulum → Muatan Kokurikuler, lalu lengkapi jenis kegiatan, tema, dimensi, mata pelajaran terkait, dan parameter khususnya.</t>
  </si>
  <si>
    <t xml:space="preserve">Data kokurikuler belum lengkap. Lengkapi jenis kegiatan, tema, dimensi, dan mata pelajaran terkait di Rencana &gt; Kokurikuler.</t>
  </si>
  <si>
    <t xml:space="preserve">Hasil Projek belum dilengkapi pada Administrasi → Kurikulum.</t>
  </si>
  <si>
    <t xml:space="preserve">Hasil projek belum diisi. Lengkapi di Rencana &gt; Kokurikuler.</t>
  </si>
  <si>
    <t xml:space="preserve">Kegiatan kolaboratif membutuhkan minimal dua mata pelajaran terkait di Administrasi → Kurikulum.</t>
  </si>
  <si>
    <t xml:space="preserve">Kegiatan kolaboratif perlu minimal dua mata pelajaran terkait. Lengkapi di Rencana &gt; Kokurikuler.</t>
  </si>
  <si>
    <t xml:space="preserve">Fokus 7 KAIH belum dilengkapi pada Administrasi → Kurikulum.</t>
  </si>
  <si>
    <t xml:space="preserve">Fokus 7 KAIH belum diisi. Lengkapi di Rencana &gt; Kokurikuler.</t>
  </si>
  <si>
    <t xml:space="preserve">Pola Gerakan 7 KAIH belum dilengkapi pada Administrasi → Kurikulum.</t>
  </si>
  <si>
    <t xml:space="preserve">Pola Gerakan 7 KAIH belum diisi. Lengkapi di Rencana &gt; Kokurikuler.</t>
  </si>
  <si>
    <t xml:space="preserve">Pilih minimal satu Dimensi Profil Lulusan atau gunakan tombol Pilihkan dengan AI.</t>
  </si>
  <si>
    <t xml:space="preserve">Pilih minimal satu dimensi profil lulusan, atau ketuk Pilihkan Otomatis.</t>
  </si>
  <si>
    <t xml:space="preserve">Data ATP untuk Materi Pokok ini belum ditemukan. Muat ulang data kurikulum.</t>
  </si>
  <si>
    <t xml:space="preserve">Data ATP materi ini belum ditemukan. Muat ulang halaman.</t>
  </si>
  <si>
    <t xml:space="preserve">Centang minimal satu Fokus Materi sebelum membuat modul.</t>
  </si>
  <si>
    <t xml:space="preserve">Centang minimal satu fokus materi.</t>
  </si>
  <si>
    <t xml:space="preserve">Durasi belum terbentuk dari jadwal Administrasi. Periksa tanggal dan jadwal pembelajaran.</t>
  </si>
  <si>
    <t xml:space="preserve">Durasi belum bisa dihitung. Periksa tanggal dan jadwal mengajar Anda.</t>
  </si>
  <si>
    <t xml:space="preserve">Rencana pertemuan belum terbentuk dari jadwal. Periksa tanggal, mata pelajaran/kegiatan, dan Jadwal Mengajar.</t>
  </si>
  <si>
    <t xml:space="preserve">Pertemuan belum bisa disusun. Periksa tanggal, mata pelajaran, dan jadwal mengajar.</t>
  </si>
  <si>
    <t xml:space="preserve">Silakan generate Modul Ajar terlebih dahulu!</t>
  </si>
  <si>
    <t xml:space="preserve">Buat RPM terlebih dahulu.</t>
  </si>
  <si>
    <t xml:space="preserve">Cetak gagal:</t>
  </si>
  <si>
    <t xml:space="preserve">Belum berhasil mencetak. Coba lagi.</t>
  </si>
  <si>
    <t xml:space="preserve">Silakan generate atau buka Modul Ajar terlebih dahulu!</t>
  </si>
  <si>
    <t xml:space="preserve">Buat atau buka RPM terlebih dahulu.</t>
  </si>
  <si>
    <t xml:space="preserve">Download DOCX gagal: {…}</t>
  </si>
  <si>
    <t xml:space="preserve">File Word belum berhasil diunduh. Coba lagi.</t>
  </si>
  <si>
    <t xml:space="preserve">Halaman modul belum siap untuk didownload. Silakan generate ulang modul.</t>
  </si>
  <si>
    <t xml:space="preserve">RPM belum siap diunduh. Buat ulang RPM, lalu coba lagi.</t>
  </si>
  <si>
    <t xml:space="preserve">Download PDF gagal:</t>
  </si>
  <si>
    <t xml:space="preserve">PDF belum berhasil diunduh. Coba lagi.</t>
  </si>
  <si>
    <t xml:space="preserve">Jadwal pelajaran mata pelajaran ini belum terbaca. Periksa Jadwal Mengajar di Administrasi.</t>
  </si>
  <si>
    <t xml:space="preserve">Jadwal mata pelajaran ini belum terbaca. Periksa Kelas Saya &gt; Jadwal.</t>
  </si>
  <si>
    <t xml:space="preserve">Semua fokus semester ini sudah bermodul.</t>
  </si>
  <si>
    <t xml:space="preserve">Semua fokus materi semester ini sudah punya RPM.</t>
  </si>
  <si>
    <t xml:space="preserve">Pesan kosong yang positif</t>
  </si>
  <si>
    <t xml:space="preserve">Gagal menyimpan:</t>
  </si>
  <si>
    <t xml:space="preserve">Belum berhasil disimpan.</t>
  </si>
  <si>
    <t xml:space="preserve">JP {…} fokus pada Semester {…} dikembalikan ke alokasi bawaan kurikulum. Modul yang sudah dibuat tidak berubah.</t>
  </si>
  <si>
    <t xml:space="preserve">Kembalikan JP {…} fokus materi semester {…} ke alokasi bawaan? RPM yang sudah dibuat tidak berubah.</t>
  </si>
  <si>
    <t xml:space="preserve">Belum bisa mengembalikan:</t>
  </si>
  <si>
    <t xml:space="preserve">Belum berhasil dikembalikan.</t>
  </si>
  <si>
    <t xml:space="preserve">Modul belum bisa dihapus dari Cloud. Coba lagi.</t>
  </si>
  <si>
    <t xml:space="preserve">RPM belum berhasil dihapus. Coba lagi.</t>
  </si>
  <si>
    <t xml:space="preserve">{…} modul hasil generate ini akan dihapus dari Cloud dan perangkat ini.</t>
  </si>
  <si>
    <t xml:space="preserve">Hapus {…} RPM ini? RPM akan hilang dari semua perangkat Anda.</t>
  </si>
  <si>
    <t xml:space="preserve">{…} modul belum bisa dihapus dari Cloud.</t>
  </si>
  <si>
    <t xml:space="preserve">{…} RPM belum berhasil dihapus.</t>
  </si>
  <si>
    <t xml:space="preserve">Modul mandiri ini akan dihapus dari Cloud dan perangkat ini. Jadwal, jurnal, dan progres ATP tidak terpengaruh.</t>
  </si>
  <si>
    <t xml:space="preserve">Hapus RPM lepas jadwal ini? Jadwal, jurnal, dan progres ATP tidak berubah.</t>
  </si>
  <si>
    <t xml:space="preserve">Modul mandiri = RPM lepas jadwal</t>
  </si>
  <si>
    <t xml:space="preserve">Perbaiki Tanggal Kokurikuler</t>
  </si>
  <si>
    <t xml:space="preserve">Perbaiki tanggal kokurikuler</t>
  </si>
  <si>
    <t xml:space="preserve">Perbaiki tanggal "{…}"?</t>
  </si>
  <si>
    <t xml:space="preserve">Timpa Modul yang Ada?</t>
  </si>
  <si>
    <t xml:space="preserve">Ganti RPM yang sudah ada?</t>
  </si>
  <si>
    <t xml:space="preserve">Ya, Timpa</t>
  </si>
  <si>
    <t xml:space="preserve">Ganti</t>
  </si>
  <si>
    <t xml:space="preserve">Menyiapkan DOCX</t>
  </si>
  <si>
    <t xml:space="preserve">Menyiapkan file Word…</t>
  </si>
  <si>
    <t xml:space="preserve">Menyusun dokumen Microsoft Word asli…</t>
  </si>
  <si>
    <t xml:space="preserve">Menyusun dokumen Word…</t>
  </si>
  <si>
    <t xml:space="preserve">Menyiapkan PDF</t>
  </si>
  <si>
    <t xml:space="preserve">Menyiapkan PDF…</t>
  </si>
  <si>
    <t xml:space="preserve">Sesuaikan kapasitas Semester {…}</t>
  </si>
  <si>
    <t xml:space="preserve">Sesuaikan JP semester {…}</t>
  </si>
  <si>
    <t xml:space="preserve">Terapkan</t>
  </si>
  <si>
    <t xml:space="preserve">Modul berhasil dibuat</t>
  </si>
  <si>
    <t xml:space="preserve">RPM berhasil dibuat</t>
  </si>
  <si>
    <t xml:space="preserve">BANK SOAL EDUNEXA - Penyimpanan Lokal</t>
  </si>
  <si>
    <t xml:space="preserve">Buat Soal — Sigrak</t>
  </si>
  <si>
    <t xml:space="preserve">Opsi Cetak &amp; Download</t>
  </si>
  <si>
    <t xml:space="preserve">Pilih yang ingin diunduh</t>
  </si>
  <si>
    <t xml:space="preserve">Pilih komponen dokumen yang ingin diproses. Setiap komponen akan otomatis dipisah halamannya.</t>
  </si>
  <si>
    <t xml:space="preserve">Setiap bagian dicetak di halaman terpisah.</t>
  </si>
  <si>
    <t xml:space="preserve">Kisi-kisi</t>
  </si>
  <si>
    <t xml:space="preserve">Evaluasi / Naskah Soal</t>
  </si>
  <si>
    <t xml:space="preserve">Naskah soal</t>
  </si>
  <si>
    <t xml:space="preserve">Utama / Kunci Jawaban</t>
  </si>
  <si>
    <t xml:space="preserve">Kunci jawaban</t>
  </si>
  <si>
    <t xml:space="preserve">Analisis / Pembahasan</t>
  </si>
  <si>
    <t xml:space="preserve">Pembahasan</t>
  </si>
  <si>
    <t xml:space="preserve">Metadata / Indikator</t>
  </si>
  <si>
    <t xml:space="preserve">Indikator soal</t>
  </si>
  <si>
    <t xml:space="preserve">Batal Proses</t>
  </si>
  <si>
    <t xml:space="preserve">Generator Bank Soal</t>
  </si>
  <si>
    <t xml:space="preserve">Kartu Soal</t>
  </si>
  <si>
    <t xml:space="preserve">Kartu soal</t>
  </si>
  <si>
    <t xml:space="preserve">Parameter Form</t>
  </si>
  <si>
    <t xml:space="preserve">Atur soal</t>
  </si>
  <si>
    <t xml:space="preserve">Identitas Umum</t>
  </si>
  <si>
    <t xml:space="preserve">Jenis dan waktu</t>
  </si>
  <si>
    <t xml:space="preserve">Jenis Penilaian</t>
  </si>
  <si>
    <t xml:space="preserve">Jenis penilaian</t>
  </si>
  <si>
    <t xml:space="preserve">Penilaian Harian</t>
  </si>
  <si>
    <t xml:space="preserve">Penilaian Harian (PH)</t>
  </si>
  <si>
    <t xml:space="preserve">Sumatif Tengah Semester</t>
  </si>
  <si>
    <t xml:space="preserve">Sumatif Tengah Semester (STS)</t>
  </si>
  <si>
    <t xml:space="preserve">Sumatif Akhir Semester</t>
  </si>
  <si>
    <t xml:space="preserve">Sumatif Akhir Semester (SAS)</t>
  </si>
  <si>
    <t xml:space="preserve">Ujian Sekolah / Madrasah</t>
  </si>
  <si>
    <t xml:space="preserve">Ujian Sekolah/Madrasah (US/UM)</t>
  </si>
  <si>
    <t xml:space="preserve">Jadwal tanggal terpilih</t>
  </si>
  <si>
    <t xml:space="preserve">Jadwal di tanggal ini</t>
  </si>
  <si>
    <t xml:space="preserve">Memuat jadwal Administrasi…</t>
  </si>
  <si>
    <t xml:space="preserve">Memuat jadwal…</t>
  </si>
  <si>
    <t xml:space="preserve">Pilih SD/MI</t>
  </si>
  <si>
    <t xml:space="preserve">-- Pilih Mata Pelajaran --</t>
  </si>
  <si>
    <t xml:space="preserve">Pilih mata pelajaran</t>
  </si>
  <si>
    <t xml:space="preserve">Topik / Materi Pokok</t>
  </si>
  <si>
    <t xml:space="preserve">Centang satu atau beberapa Materi Pokok yang tercakup.</t>
  </si>
  <si>
    <t xml:space="preserve">Centang materi yang diujikan. Untuk STS dan SAS boleh lebih dari satu.</t>
  </si>
  <si>
    <t xml:space="preserve">Centang satu atau beberapa fokus materi dari Kurikulum yang akan menjadi lingkup Bank Soal.</t>
  </si>
  <si>
    <t xml:space="preserve">Centang fokus materi yang diujikan.</t>
  </si>
  <si>
    <t xml:space="preserve">Durasi Waktu</t>
  </si>
  <si>
    <t xml:space="preserve">Waktu mengerjakan (menit)</t>
  </si>
  <si>
    <t xml:space="preserve">Satuan di label</t>
  </si>
  <si>
    <t xml:space="preserve">Level Kesulitan</t>
  </si>
  <si>
    <t xml:space="preserve">Tingkat kesulitan</t>
  </si>
  <si>
    <t xml:space="preserve">Campuran (Mudah, Sedang, Sulit)</t>
  </si>
  <si>
    <t xml:space="preserve">Campuran</t>
  </si>
  <si>
    <t xml:space="preserve">Distribusi Komponen Soal</t>
  </si>
  <si>
    <t xml:space="preserve">Jumlah soal per bentuk</t>
  </si>
  <si>
    <t xml:space="preserve">Pilihan Ganda</t>
  </si>
  <si>
    <t xml:space="preserve">Pilihan ganda</t>
  </si>
  <si>
    <t xml:space="preserve">PG Kompleks</t>
  </si>
  <si>
    <t xml:space="preserve">Pilihan ganda kompleks</t>
  </si>
  <si>
    <t xml:space="preserve">Benar Salah</t>
  </si>
  <si>
    <t xml:space="preserve">Benar–salah</t>
  </si>
  <si>
    <t xml:space="preserve">Isian Singkat</t>
  </si>
  <si>
    <t xml:space="preserve">Isian singkat</t>
  </si>
  <si>
    <t xml:space="preserve">Uraian</t>
  </si>
  <si>
    <t xml:space="preserve">Tetap; usul tambah Menjodohkan</t>
  </si>
  <si>
    <t xml:space="preserve">Komponen Otomatis</t>
  </si>
  <si>
    <t xml:space="preserve">Ikut dibuat</t>
  </si>
  <si>
    <t xml:space="preserve">Kisi-kisi, naskah soal, kunci jawaban, pembahasan, dan metadata indikator akan selalu dibuat otomatis.</t>
  </si>
  <si>
    <t xml:space="preserve">Kisi-kisi, naskah, kunci, pembahasan, dan indikator selalu ikut dibuat.</t>
  </si>
  <si>
    <t xml:space="preserve">GENERATE SOAL</t>
  </si>
  <si>
    <t xml:space="preserve">Buat soal</t>
  </si>
  <si>
    <t xml:space="preserve">Mode Ujian (OFF)</t>
  </si>
  <si>
    <t xml:space="preserve">Mode ujian: mati</t>
  </si>
  <si>
    <t xml:space="preserve">Fungsi perlu dijelaskan; lihat dokumen perombakan</t>
  </si>
  <si>
    <t xml:space="preserve">Lengkapi parameter di samping, lalu klik Generate untuk merakit soal.</t>
  </si>
  <si>
    <t xml:space="preserve">Atur soal di samping, lalu ketuk Buat soal. Pratinjau akan muncul di sini.</t>
  </si>
  <si>
    <t xml:space="preserve">Penyimpanan Bank Soal</t>
  </si>
  <si>
    <t xml:space="preserve">Dokumen Saya: soal</t>
  </si>
  <si>
    <t xml:space="preserve">Soal berlabel "Tersimpan di Cloud" dapat dibuka dari perangkat mana pun dengan akun ini dan disimpan 2 tahun ajaran terakhir.</t>
  </si>
  <si>
    <t xml:space="preserve">Soal Anda tersimpan di akun dan bisa dibuka dari perangkat mana pun.</t>
  </si>
  <si>
    <t xml:space="preserve">-- Pilih Bank Soal --</t>
  </si>
  <si>
    <t xml:space="preserve">Pilih paket soal</t>
  </si>
  <si>
    <t xml:space="preserve">PDF Cetak</t>
  </si>
  <si>
    <t xml:space="preserve">Unduh kartu soal (PDF)</t>
  </si>
  <si>
    <t xml:space="preserve">Silakan generate dokumen AI terlebih dahulu.</t>
  </si>
  <si>
    <t xml:space="preserve">Buat soal terlebih dahulu.</t>
  </si>
  <si>
    <t xml:space="preserve">"Generate dokumen AI" diganti "buat"</t>
  </si>
  <si>
    <t xml:space="preserve">Tidak ada data untuk diproses.</t>
  </si>
  <si>
    <t xml:space="preserve">Belum ada soal yang bisa diproses.</t>
  </si>
  <si>
    <t xml:space="preserve">Pilih minimal satu komponen yang akan didownload.</t>
  </si>
  <si>
    <t xml:space="preserve">Pilih minimal satu bagian yang ingin diunduh.</t>
  </si>
  <si>
    <t xml:space="preserve">Gagal memproses dokumen.</t>
  </si>
  <si>
    <t xml:space="preserve">Dokumen belum berhasil diproses. Coba lagi.</t>
  </si>
  <si>
    <t xml:space="preserve">Centang minimal 1 Topik / Materi Pokok terlebih dahulu.</t>
  </si>
  <si>
    <t xml:space="preserve">Centang minimal satu materi pokok.</t>
  </si>
  <si>
    <t xml:space="preserve">Jumlah komponen soal tidak boleh kosong!</t>
  </si>
  <si>
    <t xml:space="preserve">Isi jumlah soal minimal untuk satu bentuk soal.</t>
  </si>
  <si>
    <t xml:space="preserve">Tanpa tanda seru</t>
  </si>
  <si>
    <t xml:space="preserve">Belum ada data instrumen soal untuk disimpan.</t>
  </si>
  <si>
    <t xml:space="preserve">Belum ada soal untuk disimpan.</t>
  </si>
  <si>
    <t xml:space="preserve">Bank Soal berhasil disimpan dan diunggah otomatis ke Cloud, sehingga dapat dibuka dari perangkat mana pun.</t>
  </si>
  <si>
    <t xml:space="preserve">Soal tersimpan. Anda bisa membukanya dari perangkat mana pun.</t>
  </si>
  <si>
    <t xml:space="preserve">Tanpa kata Cloud</t>
  </si>
  <si>
    <t xml:space="preserve">Isi lengkap soal ini belum ada di Cloud. Buka EDUNEXA sekali di perangkat tempat soal ini dibuat agar isinya terunggah otomatis.</t>
  </si>
  <si>
    <t xml:space="preserve">Isi soal ini masih tersimpan di perangkat lain. Buka Sigrak sekali di perangkat itu agar isinya terkirim.</t>
  </si>
  <si>
    <t xml:space="preserve">Setelah migrasi SQL, pesan ini seharusnya tidak muncul lagi</t>
  </si>
  <si>
    <t xml:space="preserve">Gagal memuat arsip data.</t>
  </si>
  <si>
    <t xml:space="preserve">Dokumen Saya belum berhasil dimuat. Periksa koneksi, lalu coba lagi.</t>
  </si>
  <si>
    <t xml:space="preserve">Dokumen ujian lokal ini akan dihapus permanen.</t>
  </si>
  <si>
    <t xml:space="preserve">Hapus soal ini? Soal yang dihapus tidak bisa dikembalikan.</t>
  </si>
  <si>
    <t xml:space="preserve">Dokumen tidak ditemukan.</t>
  </si>
  <si>
    <t xml:space="preserve">Dokumen tidak ditemukan. Mungkin sudah dihapus.</t>
  </si>
  <si>
    <t xml:space="preserve">Dokumen berhasil dihapus!</t>
  </si>
  <si>
    <t xml:space="preserve">Dokumen dihapus.</t>
  </si>
  <si>
    <t xml:space="preserve">Gagal menghapus.</t>
  </si>
  <si>
    <t xml:space="preserve">Dokumen belum berhasil dihapus. Coba lagi.</t>
  </si>
  <si>
    <t xml:space="preserve">{…} dokumen berhasil dipulihkan.</t>
  </si>
  <si>
    <t xml:space="preserve">Worksheet/LKPD</t>
  </si>
  <si>
    <t xml:space="preserve">WORKSHEET EDUNEXA</t>
  </si>
  <si>
    <t xml:space="preserve">LKPD — Sigrak</t>
  </si>
  <si>
    <t xml:space="preserve">Generator Bank Worksheet</t>
  </si>
  <si>
    <t xml:space="preserve">Buat LKPD</t>
  </si>
  <si>
    <t xml:space="preserve">Parameter Worksheet</t>
  </si>
  <si>
    <t xml:space="preserve">Atur LKPD</t>
  </si>
  <si>
    <t xml:space="preserve">Kelas dan materi</t>
  </si>
  <si>
    <t xml:space="preserve">Pilih</t>
  </si>
  <si>
    <t xml:space="preserve">Pilih jenjang</t>
  </si>
  <si>
    <t xml:space="preserve">Daftar diambil dari jadwal mengajar pada tanggal yang dipilih.</t>
  </si>
  <si>
    <t xml:space="preserve">Gaya Worksheet</t>
  </si>
  <si>
    <t xml:space="preserve">Bentuk LKPD</t>
  </si>
  <si>
    <t xml:space="preserve">Standar</t>
  </si>
  <si>
    <t xml:space="preserve">Ringkas (1 halaman)</t>
  </si>
  <si>
    <t xml:space="preserve">1 halaman, langsung ke latihan soal. Cepat dicetak.</t>
  </si>
  <si>
    <t xml:space="preserve">Satu halaman berisi latihan. Cepat dicetak.</t>
  </si>
  <si>
    <t xml:space="preserve">Petualangan Belajar</t>
  </si>
  <si>
    <t xml:space="preserve">Lengkap (4 halaman)</t>
  </si>
  <si>
    <t xml:space="preserve">4 halaman: Cover, Konsep, Aktivitas, Refleksi -- dengan maskot &amp; lebih banyak jenis aktivitas.</t>
  </si>
  <si>
    <t xml:space="preserve">Sampul, konsep, aktivitas, dan refleksi dengan lebih banyak jenis kegiatan.</t>
  </si>
  <si>
    <t xml:space="preserve">Maskot dihapus sesuai arah visual</t>
  </si>
  <si>
    <t xml:space="preserve">GENERATE WORKSHEET</t>
  </si>
  <si>
    <t xml:space="preserve">Pratinjau Worksheet</t>
  </si>
  <si>
    <t xml:space="preserve">Pratinjau</t>
  </si>
  <si>
    <t xml:space="preserve">Kunci Jawaban</t>
  </si>
  <si>
    <t xml:space="preserve">Lengkapi Tanggal, Mata Pelajaran, dan Topik di samping, lalu klik Generate.</t>
  </si>
  <si>
    <t xml:space="preserve">Isi tanggal, mata pelajaran, dan materi, lalu ketuk Buat LKPD.</t>
  </si>
  <si>
    <t xml:space="preserve">Penyimpanan Lokal Worksheet</t>
  </si>
  <si>
    <t xml:space="preserve">Dokumen Saya: LKPD</t>
  </si>
  <si>
    <t xml:space="preserve">Dokumen tersimpan sampai akhir tahun ajaran aktif.</t>
  </si>
  <si>
    <t xml:space="preserve">LKPD tersimpan di akun Anda.</t>
  </si>
  <si>
    <t xml:space="preserve">Lengkapi Tanggal, Mata Pelajaran, dan Topik terlebih dahulu.</t>
  </si>
  <si>
    <t xml:space="preserve">Lengkapi tanggal, mata pelajaran, dan materi.</t>
  </si>
  <si>
    <t xml:space="preserve">Silakan generate worksheet terlebih dahulu.</t>
  </si>
  <si>
    <t xml:space="preserve">Buat LKPD terlebih dahulu.</t>
  </si>
  <si>
    <t xml:space="preserve">Worksheet = LKPD</t>
  </si>
  <si>
    <t xml:space="preserve">Gagal membuat PDF ({…}): {…}</t>
  </si>
  <si>
    <t xml:space="preserve">PDF ukuran {…} belum berhasil dibuat. Coba lagi.</t>
  </si>
  <si>
    <t xml:space="preserve">Belum ada worksheet untuk disimpan.</t>
  </si>
  <si>
    <t xml:space="preserve">Belum ada LKPD untuk disimpan.</t>
  </si>
  <si>
    <t xml:space="preserve">Worksheet berhasil disimpan ke penyimpanan lokal (sampai akhir tahun ajaran aktif).</t>
  </si>
  <si>
    <t xml:space="preserve">LKPD tersimpan di Dokumen Saya.</t>
  </si>
  <si>
    <t xml:space="preserve">Simpan ke server, bukan lokal</t>
  </si>
  <si>
    <t xml:space="preserve">Gagal menyimpan worksheet:</t>
  </si>
  <si>
    <t xml:space="preserve">LKPD belum berhasil disimpan.</t>
  </si>
  <si>
    <t xml:space="preserve">Worksheet tidak ditemukan (mungkin sudah kedaluwarsa).</t>
  </si>
  <si>
    <t xml:space="preserve">LKPD tidak ditemukan. Mungkin sudah dihapus.</t>
  </si>
  <si>
    <t xml:space="preserve">Hapus worksheet ini dari penyimpanan lokal?</t>
  </si>
  <si>
    <t xml:space="preserve">Hapus LKPD ini? LKPD yang dihapus tidak bisa dikembalikan.</t>
  </si>
  <si>
    <t xml:space="preserve">Worksheet berhasil dihapus dari Bank Worksheet.</t>
  </si>
  <si>
    <t xml:space="preserve">LKPD dihapus.</t>
  </si>
  <si>
    <t xml:space="preserve">Gagal menghapus worksheet:</t>
  </si>
  <si>
    <t xml:space="preserve">LKPD belum berhasil dihapus.</t>
  </si>
  <si>
    <t xml:space="preserve">Administrasi Kelas - EDUNEXA Pro</t>
  </si>
  <si>
    <t xml:space="preserve">Kelas Saya — Sigrak</t>
  </si>
  <si>
    <t xml:space="preserve">Sapaan</t>
  </si>
  <si>
    <t xml:space="preserve">Selamat Datang, Guru</t>
  </si>
  <si>
    <t xml:space="preserve">Selamat pagi</t>
  </si>
  <si>
    <t xml:space="preserve">Sapaan mengikuti jam; tanpa nama bila belum diisi</t>
  </si>
  <si>
    <t xml:space="preserve">Dashboard</t>
  </si>
  <si>
    <t xml:space="preserve">Ringkasan kelas</t>
  </si>
  <si>
    <t xml:space="preserve">Kurikulum Kaldik &amp; Jadwal</t>
  </si>
  <si>
    <t xml:space="preserve">Jadwal dan kaldik</t>
  </si>
  <si>
    <t xml:space="preserve">Kurikulum dipindah ke Rencana</t>
  </si>
  <si>
    <t xml:space="preserve">Siswa</t>
  </si>
  <si>
    <t xml:space="preserve">Absensi</t>
  </si>
  <si>
    <t xml:space="preserve">Pindah ke Di Kelas</t>
  </si>
  <si>
    <t xml:space="preserve">Jurnal &amp; Refleksi</t>
  </si>
  <si>
    <t xml:space="preserve">Jurnal</t>
  </si>
  <si>
    <t xml:space="preserve">Piket</t>
  </si>
  <si>
    <t xml:space="preserve">Keuangan</t>
  </si>
  <si>
    <t xml:space="preserve">Inventaris</t>
  </si>
  <si>
    <t xml:space="preserve">Mutasi</t>
  </si>
  <si>
    <t xml:space="preserve">Pindah dan keluar</t>
  </si>
  <si>
    <t xml:space="preserve">Di bawah Siswa</t>
  </si>
  <si>
    <t xml:space="preserve">Kenaikan</t>
  </si>
  <si>
    <t xml:space="preserve">Kenaikan kelas</t>
  </si>
  <si>
    <t xml:space="preserve">Buku Catatan</t>
  </si>
  <si>
    <t xml:space="preserve">Catatan siswa</t>
  </si>
  <si>
    <t xml:space="preserve">Kartu ringkasan</t>
  </si>
  <si>
    <t xml:space="preserve">Total Siswa</t>
  </si>
  <si>
    <t xml:space="preserve">Presensi Hari Ini</t>
  </si>
  <si>
    <t xml:space="preserve">Absensi hari ini</t>
  </si>
  <si>
    <t xml:space="preserve">Belum diisi</t>
  </si>
  <si>
    <t xml:space="preserve">Administrasi Hari Ini</t>
  </si>
  <si>
    <t xml:space="preserve">Yang perlu diisi hari ini</t>
  </si>
  <si>
    <t xml:space="preserve">Keuangan Kelas</t>
  </si>
  <si>
    <t xml:space="preserve">Keuangan kelas</t>
  </si>
  <si>
    <t xml:space="preserve">Tabungan</t>
  </si>
  <si>
    <t xml:space="preserve">Bayar</t>
  </si>
  <si>
    <t xml:space="preserve">Pembayaran</t>
  </si>
  <si>
    <t xml:space="preserve">Jadwal Hari Ini</t>
  </si>
  <si>
    <t xml:space="preserve">Jadwal hari ini</t>
  </si>
  <si>
    <t xml:space="preserve">Petugas Piket</t>
  </si>
  <si>
    <t xml:space="preserve">Piket hari ini</t>
  </si>
  <si>
    <t xml:space="preserve">Data Kurikulum</t>
  </si>
  <si>
    <t xml:space="preserve">Di menu Rencana</t>
  </si>
  <si>
    <t xml:space="preserve">CP, TP, ATP, Prota, dan Promes dari satu sumber data terverifikasi.</t>
  </si>
  <si>
    <t xml:space="preserve">CP, TP, ATP, Prota, dan Promes dari kurikulum bawaan yang sudah diperiksa.</t>
  </si>
  <si>
    <t xml:space="preserve">Muatan Pelajaran</t>
  </si>
  <si>
    <t xml:space="preserve">Mata pelajaran</t>
  </si>
  <si>
    <t xml:space="preserve">Struktur CP/TP</t>
  </si>
  <si>
    <t xml:space="preserve">CP dan TP</t>
  </si>
  <si>
    <t xml:space="preserve">Daftar TP</t>
  </si>
  <si>
    <t xml:space="preserve">ATP</t>
  </si>
  <si>
    <t xml:space="preserve">Prota</t>
  </si>
  <si>
    <t xml:space="preserve">Promes</t>
  </si>
  <si>
    <t xml:space="preserve">Centang mata pelajaran terlebih dahulu untuk membuka struktur dan perencanaan kurikulum.</t>
  </si>
  <si>
    <t xml:space="preserve">Pilih mata pelajaran yang dipakai sekolah Anda dulu. Setelah itu CP, TP, dan ATP akan terbuka.</t>
  </si>
  <si>
    <t xml:space="preserve">Centang mata pelajaran yang digunakan instansi ini. Daftar awal berasal dari database JSON kurikulum.</t>
  </si>
  <si>
    <t xml:space="preserve">Centang mata pelajaran yang dipakai sekolah Anda.</t>
  </si>
  <si>
    <t xml:space="preserve">Sumber teknis tidak perlu disebut</t>
  </si>
  <si>
    <t xml:space="preserve">Pulihkan Mapel Bawaan</t>
  </si>
  <si>
    <t xml:space="preserve">Tampilkan lagi mata pelajaran bawaan</t>
  </si>
  <si>
    <t xml:space="preserve">Tambah Mata Pelajaran</t>
  </si>
  <si>
    <t xml:space="preserve">Tambah mata pelajaran</t>
  </si>
  <si>
    <t xml:space="preserve">Memuat daftar mata pelajaran...</t>
  </si>
  <si>
    <t xml:space="preserve">Rencana Kokurikuler Sekolah</t>
  </si>
  <si>
    <t xml:space="preserve">Rencana kokurikuler sekolah</t>
  </si>
  <si>
    <t xml:space="preserve">Rekomendasi Kepala Sekolah tidak mengubah data kelas sebelum Anda memilihnya.</t>
  </si>
  <si>
    <t xml:space="preserve">Rencana dari kepala sekolah baru berlaku di kelas Anda setelah Anda memilihnya.</t>
  </si>
  <si>
    <t xml:space="preserve">Opsional</t>
  </si>
  <si>
    <t xml:space="preserve">Memeriksa rencana untuk kelas ini...</t>
  </si>
  <si>
    <t xml:space="preserve">Memeriksa rencana…</t>
  </si>
  <si>
    <t xml:space="preserve">Tambah Kegiatan Kokurikuler</t>
  </si>
  <si>
    <t xml:space="preserve">Tambah kegiatan kokurikuler</t>
  </si>
  <si>
    <t xml:space="preserve">Isi langsung satu kali: tema, deskripsi kegiatan, jenis, mata pelajaran terkait, dimensi, dan target JP. RPM Generator akan membacanya otomatis. Ketik sendiri atau pilih dari saran yang muncul.</t>
  </si>
  <si>
    <t xml:space="preserve">Isi sekali saja. RPM kokurikuler akan memakai data ini. Ketik sendiri atau pilih dari saran.</t>
  </si>
  <si>
    <t xml:space="preserve">Kelas aktif</t>
  </si>
  <si>
    <t xml:space="preserve">Deskripsi Kegiatan</t>
  </si>
  <si>
    <t xml:space="preserve">Deskripsi kegiatan</t>
  </si>
  <si>
    <t xml:space="preserve">Jenis Kegiatan</t>
  </si>
  <si>
    <t xml:space="preserve">Jenis kegiatan</t>
  </si>
  <si>
    <t xml:space="preserve">Target JP per Tahun</t>
  </si>
  <si>
    <t xml:space="preserve">Target JP per tahun</t>
  </si>
  <si>
    <t xml:space="preserve">JP per Minggu (untuk Jadwal)</t>
  </si>
  <si>
    <t xml:space="preserve">JP per minggu</t>
  </si>
  <si>
    <t xml:space="preserve">Mata Pelajaran Terkait</t>
  </si>
  <si>
    <t xml:space="preserve">Mata pelajaran terkait</t>
  </si>
  <si>
    <t xml:space="preserve">Hasil Projek</t>
  </si>
  <si>
    <t xml:space="preserve">Hasil projek</t>
  </si>
  <si>
    <t xml:space="preserve">Fokus 7 KAIH</t>
  </si>
  <si>
    <t xml:space="preserve">Pola Pelaksanaan</t>
  </si>
  <si>
    <t xml:space="preserve">Pola pelaksanaan</t>
  </si>
  <si>
    <t xml:space="preserve">Dimensi Profil Lulusan</t>
  </si>
  <si>
    <t xml:space="preserve">Dimensi profil lulusan</t>
  </si>
  <si>
    <t xml:space="preserve">Simpan Kegiatan</t>
  </si>
  <si>
    <t xml:space="preserve">Simpan kegiatan</t>
  </si>
  <si>
    <t xml:space="preserve">Kosongkan</t>
  </si>
  <si>
    <t xml:space="preserve">Muatan Kelas Saya</t>
  </si>
  <si>
    <t xml:space="preserve">Kokurikuler kelas saya</t>
  </si>
  <si>
    <t xml:space="preserve">Dipakai pada Susun Jadwal dan administrasi pembelajaran guru.</t>
  </si>
  <si>
    <t xml:space="preserve">Dipakai di jadwal dan RPM.</t>
  </si>
  <si>
    <t xml:space="preserve">Belum ada muatan kokurikuler.</t>
  </si>
  <si>
    <t xml:space="preserve">Belum ada kegiatan kokurikuler. Tambahkan di atas atau pilih dari rencana sekolah.</t>
  </si>
  <si>
    <t xml:space="preserve">Daftar Kurikulum dengan CP</t>
  </si>
  <si>
    <t xml:space="preserve">Daftar materi dan CP</t>
  </si>
  <si>
    <t xml:space="preserve">Validasi</t>
  </si>
  <si>
    <t xml:space="preserve">Ajukan validasi</t>
  </si>
  <si>
    <t xml:space="preserve">Sesuai alur validasi baru</t>
  </si>
  <si>
    <t xml:space="preserve">Pulihkan Master</t>
  </si>
  <si>
    <t xml:space="preserve">Kembalikan ke bawaan</t>
  </si>
  <si>
    <t xml:space="preserve">Versi Aktif</t>
  </si>
  <si>
    <t xml:space="preserve">Versi yang dipakai</t>
  </si>
  <si>
    <t xml:space="preserve">Semua Semester</t>
  </si>
  <si>
    <t xml:space="preserve">Semua semester</t>
  </si>
  <si>
    <t xml:space="preserve">Versi Kurikulum yang Digunakan</t>
  </si>
  <si>
    <t xml:space="preserve">Versi kurikulum</t>
  </si>
  <si>
    <t xml:space="preserve">Master EDUNEXA</t>
  </si>
  <si>
    <t xml:space="preserve">Bawaan Sigrak</t>
  </si>
  <si>
    <t xml:space="preserve">Pilihan disimpan khusus untuk guru, kelas aktif, tahun ajaran, dan mata pelajaran ini. Dokumen lama tidak diubah.</t>
  </si>
  <si>
    <t xml:space="preserve">Berlaku untuk mata pelajaran ini di kelas Anda tahun ini. RPM lama tidak berubah.</t>
  </si>
  <si>
    <t xml:space="preserve">Pilih Mata Pelajaran</t>
  </si>
  <si>
    <t xml:space="preserve">Pilih Versi Kurikulum</t>
  </si>
  <si>
    <t xml:space="preserve">Gunakan Versi Ini</t>
  </si>
  <si>
    <t xml:space="preserve">Pakai versi ini</t>
  </si>
  <si>
    <t xml:space="preserve">Memuat versi kurikulum yang tersedia...</t>
  </si>
  <si>
    <t xml:space="preserve">Memuat versi kurikulum…</t>
  </si>
  <si>
    <t xml:space="preserve">Mata Pelajaran</t>
  </si>
  <si>
    <t xml:space="preserve">Kelas/Fase</t>
  </si>
  <si>
    <t xml:space="preserve">Kelas/fase</t>
  </si>
  <si>
    <t xml:space="preserve">Capaian Pembelajaran</t>
  </si>
  <si>
    <t xml:space="preserve">CP</t>
  </si>
  <si>
    <t xml:space="preserve">Tujuan Pembelajaran</t>
  </si>
  <si>
    <t xml:space="preserve">TP</t>
  </si>
  <si>
    <t xml:space="preserve">Memuat data kurikulum...</t>
  </si>
  <si>
    <t xml:space="preserve">Memuat kurikulum…</t>
  </si>
  <si>
    <t xml:space="preserve">Tambah Struktur</t>
  </si>
  <si>
    <t xml:space="preserve">Tambah materi sekolah</t>
  </si>
  <si>
    <t xml:space="preserve">Daftar Tujuan Pembelajaran</t>
  </si>
  <si>
    <t xml:space="preserve">Alur Tujuan Pembelajaran</t>
  </si>
  <si>
    <t xml:space="preserve">Program Tahunan</t>
  </si>
  <si>
    <t xml:space="preserve">Program Semester</t>
  </si>
  <si>
    <t xml:space="preserve">Dihasilkan otomatis dari ATP dan alokasi JP.</t>
  </si>
  <si>
    <t xml:space="preserve">Dihitung otomatis dari ATP dan JP.</t>
  </si>
  <si>
    <t xml:space="preserve">Dihasilkan otomatis berdasarkan minggu efektif.</t>
  </si>
  <si>
    <t xml:space="preserve">Dihitung otomatis dari minggu efektif.</t>
  </si>
  <si>
    <t xml:space="preserve">Reset Penyesuaian</t>
  </si>
  <si>
    <t xml:space="preserve">Kembalikan ke otomatis</t>
  </si>
  <si>
    <t xml:space="preserve">Urutan</t>
  </si>
  <si>
    <t xml:space="preserve">Kode TP</t>
  </si>
  <si>
    <t xml:space="preserve">Elemen</t>
  </si>
  <si>
    <t xml:space="preserve">Kode ATP</t>
  </si>
  <si>
    <t xml:space="preserve">Materi/TP</t>
  </si>
  <si>
    <t xml:space="preserve">JP</t>
  </si>
  <si>
    <t xml:space="preserve">Minggu</t>
  </si>
  <si>
    <t xml:space="preserve">Alokasi JP</t>
  </si>
  <si>
    <t xml:space="preserve">Tgl</t>
  </si>
  <si>
    <t xml:space="preserve">Tanggal</t>
  </si>
  <si>
    <t xml:space="preserve">Hindari singkatan</t>
  </si>
  <si>
    <t xml:space="preserve">Data Siswa</t>
  </si>
  <si>
    <t xml:space="preserve">Template Excel</t>
  </si>
  <si>
    <t xml:space="preserve">Unduh templat Excel</t>
  </si>
  <si>
    <t xml:space="preserve">Impor</t>
  </si>
  <si>
    <t xml:space="preserve">Impor dari Excel</t>
  </si>
  <si>
    <t xml:space="preserve">Daftar Siswa Kelas</t>
  </si>
  <si>
    <t xml:space="preserve">Daftar siswa</t>
  </si>
  <si>
    <t xml:space="preserve">Data belum tersedia</t>
  </si>
  <si>
    <t xml:space="preserve">Belum ada siswa. Tambahkan satu per satu atau impor dari Excel.</t>
  </si>
  <si>
    <t xml:space="preserve">NIS</t>
  </si>
  <si>
    <t xml:space="preserve">NISN</t>
  </si>
  <si>
    <t xml:space="preserve">Nama lengkap</t>
  </si>
  <si>
    <t xml:space="preserve">Tempat, Tanggal Lahir (TTL)</t>
  </si>
  <si>
    <t xml:space="preserve">Tempat, tanggal lahir</t>
  </si>
  <si>
    <t xml:space="preserve">Formulir Siswa</t>
  </si>
  <si>
    <t xml:space="preserve">Data siswa</t>
  </si>
  <si>
    <t xml:space="preserve">No. Urut</t>
  </si>
  <si>
    <t xml:space="preserve">No. absen</t>
  </si>
  <si>
    <t xml:space="preserve">Gender</t>
  </si>
  <si>
    <t xml:space="preserve">Jenis kelamin</t>
  </si>
  <si>
    <t xml:space="preserve">Laki-laki (L)</t>
  </si>
  <si>
    <t xml:space="preserve">Laki-laki</t>
  </si>
  <si>
    <t xml:space="preserve">Perempuan (P)</t>
  </si>
  <si>
    <t xml:space="preserve">Perempuan</t>
  </si>
  <si>
    <t xml:space="preserve">Agama</t>
  </si>
  <si>
    <t xml:space="preserve">Tempat Lahir</t>
  </si>
  <si>
    <t xml:space="preserve">Tempat lahir</t>
  </si>
  <si>
    <t xml:space="preserve">Tanggal Lahir</t>
  </si>
  <si>
    <t xml:space="preserve">Tanggal lahir</t>
  </si>
  <si>
    <t xml:space="preserve">Nomor HP/WA orang tua</t>
  </si>
  <si>
    <t xml:space="preserve">Lebih jelas milik siapa</t>
  </si>
  <si>
    <t xml:space="preserve">Nama Ayah</t>
  </si>
  <si>
    <t xml:space="preserve">Nama ayah</t>
  </si>
  <si>
    <t xml:space="preserve">Kerja Ayah</t>
  </si>
  <si>
    <t xml:space="preserve">Pekerjaan ayah</t>
  </si>
  <si>
    <t xml:space="preserve">Nama Ibu</t>
  </si>
  <si>
    <t xml:space="preserve">Nama ibu</t>
  </si>
  <si>
    <t xml:space="preserve">Kerja Ibu</t>
  </si>
  <si>
    <t xml:space="preserve">Pekerjaan ibu</t>
  </si>
  <si>
    <t xml:space="preserve">Catatan Tambahan</t>
  </si>
  <si>
    <t xml:space="preserve">Simpan Data</t>
  </si>
  <si>
    <t xml:space="preserve">Simpan siswa</t>
  </si>
  <si>
    <t xml:space="preserve">Mutasi Siswa</t>
  </si>
  <si>
    <t xml:space="preserve">Kelola siswa masuk, keluar, dan pindah rombel tanpa menghapus riwayat.</t>
  </si>
  <si>
    <t xml:space="preserve">Catat siswa masuk, keluar, dan pindah rombel. Riwayatnya tetap tersimpan.</t>
  </si>
  <si>
    <t xml:space="preserve">Siswa masuk</t>
  </si>
  <si>
    <t xml:space="preserve">Siswa keluar</t>
  </si>
  <si>
    <t xml:space="preserve">Pindah Rombel</t>
  </si>
  <si>
    <t xml:space="preserve">Pindah rombel</t>
  </si>
  <si>
    <t xml:space="preserve">Siswa Aktif</t>
  </si>
  <si>
    <t xml:space="preserve">Siswa aktif</t>
  </si>
  <si>
    <t xml:space="preserve">Pindahan Masuk</t>
  </si>
  <si>
    <t xml:space="preserve">Pindahan Keluar/Internal</t>
  </si>
  <si>
    <t xml:space="preserve">Keluar dan pindah rombel</t>
  </si>
  <si>
    <t xml:space="preserve">Riwayat Mutasi</t>
  </si>
  <si>
    <t xml:space="preserve">Riwayat</t>
  </si>
  <si>
    <t xml:space="preserve">Belum ada riwayat mutasi.</t>
  </si>
  <si>
    <t xml:space="preserve">Belum ada siswa yang pindah atau keluar.</t>
  </si>
  <si>
    <t xml:space="preserve">Nama Siswa</t>
  </si>
  <si>
    <t xml:space="preserve">Nama siswa</t>
  </si>
  <si>
    <t xml:space="preserve">Jenis</t>
  </si>
  <si>
    <t xml:space="preserve">Kelas Asal</t>
  </si>
  <si>
    <t xml:space="preserve">Dari kelas</t>
  </si>
  <si>
    <t xml:space="preserve">Kelas Tujuan</t>
  </si>
  <si>
    <t xml:space="preserve">Ke kelas</t>
  </si>
  <si>
    <t xml:space="preserve">Keterangan</t>
  </si>
  <si>
    <t xml:space="preserve">Kaldik &amp; Jadwal</t>
  </si>
  <si>
    <t xml:space="preserve">Kaldik</t>
  </si>
  <si>
    <t xml:space="preserve">Pengaturan Waktu</t>
  </si>
  <si>
    <t xml:space="preserve">Pengaturan jam</t>
  </si>
  <si>
    <t xml:space="preserve">Jam Masuk Sekolah</t>
  </si>
  <si>
    <t xml:space="preserve">Jam masuk</t>
  </si>
  <si>
    <t xml:space="preserve">Durasi 1 JP (menit)</t>
  </si>
  <si>
    <t xml:space="preserve">Lama 1 JP (menit)</t>
  </si>
  <si>
    <t xml:space="preserve">Durasi Istirahat (menit)</t>
  </si>
  <si>
    <t xml:space="preserve">Lama istirahat (menit)</t>
  </si>
  <si>
    <t xml:space="preserve">Durasi Pembiasaan (menit)</t>
  </si>
  <si>
    <t xml:space="preserve">Lama pembiasaan (menit)</t>
  </si>
  <si>
    <t xml:space="preserve">Simpan Pengaturan</t>
  </si>
  <si>
    <t xml:space="preserve">Simpan pengaturan</t>
  </si>
  <si>
    <t xml:space="preserve">Jam pelajaran pertama tiap hari otomatis mulai dari Jam Masuk. Jam pelajaran berikutnya di hari yang sama otomatis melanjutkan dari akhir jam sebelumnya.</t>
  </si>
  <si>
    <t xml:space="preserve">Jam pelajaran dihitung otomatis mulai dari jam masuk.</t>
  </si>
  <si>
    <t xml:space="preserve">Durasi menyesuaikan Mata Pelajaran yang dipilih: Istirahat memakai Durasi Istirahat, Pembiasaan memakai Durasi Pembiasaan, mapel/Upacara lainnya memakai Durasi 1 JP.</t>
  </si>
  <si>
    <t xml:space="preserve">Lama setiap jam mengikuti jenisnya: istirahat, pembiasaan, atau 1 JP.</t>
  </si>
  <si>
    <t xml:space="preserve">Kolom Waktu terisi otomatis dan tidak bisa diketik manual.</t>
  </si>
  <si>
    <t xml:space="preserve">Jam terisi otomatis.</t>
  </si>
  <si>
    <t xml:space="preserve">Atur Jam &amp; Hari</t>
  </si>
  <si>
    <t xml:space="preserve">Tambah jam pelajaran</t>
  </si>
  <si>
    <t xml:space="preserve">Hari</t>
  </si>
  <si>
    <t xml:space="preserve">Pilih Hari...</t>
  </si>
  <si>
    <t xml:space="preserve">Pilih hari</t>
  </si>
  <si>
    <t xml:space="preserve">Waktu (otomatis)</t>
  </si>
  <si>
    <t xml:space="preserve">Jam (otomatis)</t>
  </si>
  <si>
    <t xml:space="preserve">Preview Jadwal Kelas</t>
  </si>
  <si>
    <t xml:space="preserve">Jadwal kelas</t>
  </si>
  <si>
    <t xml:space="preserve">Jadwal belum tersedia</t>
  </si>
  <si>
    <t xml:space="preserve">Jadwal belum diisi. Atur jam masuk dan lama 1 JP, lalu tambahkan jam pelajaran.</t>
  </si>
  <si>
    <t xml:space="preserve">Jam/JP</t>
  </si>
  <si>
    <t xml:space="preserve">Jam ke-</t>
  </si>
  <si>
    <t xml:space="preserve">Jadwal Piket</t>
  </si>
  <si>
    <t xml:space="preserve">Setup Regu Piket</t>
  </si>
  <si>
    <t xml:space="preserve">Atur regu piket</t>
  </si>
  <si>
    <t xml:space="preserve">1. Pilih Hari Tugas</t>
  </si>
  <si>
    <t xml:space="preserve">1. Pilih hari</t>
  </si>
  <si>
    <t xml:space="preserve">-- Pilih Hari --</t>
  </si>
  <si>
    <t xml:space="preserve">Simpan Regu</t>
  </si>
  <si>
    <t xml:space="preserve">Simpan regu</t>
  </si>
  <si>
    <t xml:space="preserve">2. Tandai Siswa Bertugas</t>
  </si>
  <si>
    <t xml:space="preserve">2. Pilih siswa yang bertugas</t>
  </si>
  <si>
    <t xml:space="preserve">dipilih</t>
  </si>
  <si>
    <t xml:space="preserve">Papan Jadwal Piket</t>
  </si>
  <si>
    <t xml:space="preserve">Jadwal piket</t>
  </si>
  <si>
    <t xml:space="preserve">Presensi Kehadiran</t>
  </si>
  <si>
    <t xml:space="preserve">Istilah baku: absensi</t>
  </si>
  <si>
    <t xml:space="preserve">Daftar Hadir</t>
  </si>
  <si>
    <t xml:space="preserve">Isi absensi</t>
  </si>
  <si>
    <t xml:space="preserve">Rekap Presensi</t>
  </si>
  <si>
    <t xml:space="preserve">Rekap absensi</t>
  </si>
  <si>
    <t xml:space="preserve">Tanggal Presensi:</t>
  </si>
  <si>
    <t xml:space="preserve">Mata Pelajaran:</t>
  </si>
  <si>
    <t xml:space="preserve">Silakan pilih tanggal dan pastikan ada siswa terdaftar</t>
  </si>
  <si>
    <t xml:space="preserve">Pilih tanggal. Bila daftar tetap kosong, tambahkan siswa dulu di Kelas Saya &gt; Siswa.</t>
  </si>
  <si>
    <t xml:space="preserve">Status Kehadiran</t>
  </si>
  <si>
    <t xml:space="preserve">Kehadiran</t>
  </si>
  <si>
    <t xml:space="preserve">Hadir / Sakit / Ijin / tanpa keterangan</t>
  </si>
  <si>
    <t xml:space="preserve">Hadir / Sakit / Izin / Alpa</t>
  </si>
  <si>
    <t xml:space="preserve">Ejaan baku "izin"; urutan tetap</t>
  </si>
  <si>
    <t xml:space="preserve">Hapus Kehadiran</t>
  </si>
  <si>
    <t xml:space="preserve">Hapus absensi hari ini</t>
  </si>
  <si>
    <t xml:space="preserve">Simpan Kehadiran</t>
  </si>
  <si>
    <t xml:space="preserve">Simpan absensi</t>
  </si>
  <si>
    <t xml:space="preserve">Semester untuk Rekap</t>
  </si>
  <si>
    <t xml:space="preserve">Semester Ganjil (Juli–Desember)</t>
  </si>
  <si>
    <t xml:space="preserve">Semester 1 (Juli–Desember)</t>
  </si>
  <si>
    <t xml:space="preserve">Semester Genap (Januari–Juni)</t>
  </si>
  <si>
    <t xml:space="preserve">Semester 2 (Januari–Juni)</t>
  </si>
  <si>
    <t xml:space="preserve">Bulan untuk Laporan</t>
  </si>
  <si>
    <t xml:space="preserve">Bulan</t>
  </si>
  <si>
    <t xml:space="preserve">Download Rekap</t>
  </si>
  <si>
    <t xml:space="preserve">Unduh rekap</t>
  </si>
  <si>
    <t xml:space="preserve">Download Laporan</t>
  </si>
  <si>
    <t xml:space="preserve">Unduh laporan bulanan</t>
  </si>
  <si>
    <t xml:space="preserve">Cetak Rekap</t>
  </si>
  <si>
    <t xml:space="preserve">Cetak rekap</t>
  </si>
  <si>
    <t xml:space="preserve">Cetak Laporan</t>
  </si>
  <si>
    <t xml:space="preserve">Cetak laporan bulanan</t>
  </si>
  <si>
    <t xml:space="preserve">Pilih semester untuk melihat rekap</t>
  </si>
  <si>
    <t xml:space="preserve">Pilih semester untuk melihat rekap.</t>
  </si>
  <si>
    <t xml:space="preserve">Pilih Jenis Keuangan</t>
  </si>
  <si>
    <t xml:space="preserve">Pilih jenis keuangan</t>
  </si>
  <si>
    <t xml:space="preserve">Setoran dan penarikan tabungan siswa, per transaksi.</t>
  </si>
  <si>
    <t xml:space="preserve">Setoran dan penarikan tabungan siswa.</t>
  </si>
  <si>
    <t xml:space="preserve">Keuangan Lain</t>
  </si>
  <si>
    <t xml:space="preserve">Pembayaran lain</t>
  </si>
  <si>
    <t xml:space="preserve">SPP, uang kegiatan, dan pembayaran lain -- bisa dicicil, terpisah dari Tabungan.</t>
  </si>
  <si>
    <t xml:space="preserve">Uang kegiatan dan pembayaran lain. Bisa dicicil.</t>
  </si>
  <si>
    <t xml:space="preserve">Tabungan Kelas</t>
  </si>
  <si>
    <t xml:space="preserve">Tabungan kelas</t>
  </si>
  <si>
    <t xml:space="preserve">Transaksi Baru</t>
  </si>
  <si>
    <t xml:space="preserve">Catat transaksi</t>
  </si>
  <si>
    <t xml:space="preserve">Buku Kas Besar</t>
  </si>
  <si>
    <t xml:space="preserve">Buku besar</t>
  </si>
  <si>
    <t xml:space="preserve">Form Transaksi</t>
  </si>
  <si>
    <t xml:space="preserve">Transaksi</t>
  </si>
  <si>
    <t xml:space="preserve">Nama Nasabah</t>
  </si>
  <si>
    <t xml:space="preserve">Istilah sekolah, bukan bank</t>
  </si>
  <si>
    <t xml:space="preserve">Setor Tunai (Rp)</t>
  </si>
  <si>
    <t xml:space="preserve">Setor (Rp)</t>
  </si>
  <si>
    <t xml:space="preserve">Penarikan (Rp)</t>
  </si>
  <si>
    <t xml:space="preserve">Tarik (Rp)</t>
  </si>
  <si>
    <t xml:space="preserve">Proses Transaksi</t>
  </si>
  <si>
    <t xml:space="preserve">Simpan transaksi</t>
  </si>
  <si>
    <t xml:space="preserve">Mutasi: Pilih Siswa</t>
  </si>
  <si>
    <t xml:space="preserve">Riwayat tabungan siswa</t>
  </si>
  <si>
    <t xml:space="preserve">Pilih siswa untuk melihat mutasi</t>
  </si>
  <si>
    <t xml:space="preserve">Pilih siswa untuk melihat riwayat tabungannya.</t>
  </si>
  <si>
    <t xml:space="preserve">Setor</t>
  </si>
  <si>
    <t xml:space="preserve">Tarik</t>
  </si>
  <si>
    <t xml:space="preserve">Saldo Akhir</t>
  </si>
  <si>
    <t xml:space="preserve">Saldo (Rp)</t>
  </si>
  <si>
    <t xml:space="preserve">Buku Besar Tabungan</t>
  </si>
  <si>
    <t xml:space="preserve">Buku besar tabungan</t>
  </si>
  <si>
    <t xml:space="preserve">Total Setoran</t>
  </si>
  <si>
    <t xml:space="preserve">Total setor (Rp)</t>
  </si>
  <si>
    <t xml:space="preserve">Total Tarikan</t>
  </si>
  <si>
    <t xml:space="preserve">Total tarik (Rp)</t>
  </si>
  <si>
    <t xml:space="preserve">Saldo Bersih</t>
  </si>
  <si>
    <t xml:space="preserve">Catat Pembayaran</t>
  </si>
  <si>
    <t xml:space="preserve">Catat pembayaran</t>
  </si>
  <si>
    <t xml:space="preserve">Jenis Keuangan</t>
  </si>
  <si>
    <t xml:space="preserve">Jenis pembayaran</t>
  </si>
  <si>
    <t xml:space="preserve">-- Pilih --</t>
  </si>
  <si>
    <t xml:space="preserve">Nominal Bayar (Rp)</t>
  </si>
  <si>
    <t xml:space="preserve">Jumlah dibayar (Rp)</t>
  </si>
  <si>
    <t xml:space="preserve">Simpan Pembayaran</t>
  </si>
  <si>
    <t xml:space="preserve">Simpan pembayaran</t>
  </si>
  <si>
    <t xml:space="preserve">Rekap: Pilih Jenis Keuangan</t>
  </si>
  <si>
    <t xml:space="preserve">Rekap jenis pembayaran</t>
  </si>
  <si>
    <t xml:space="preserve">Pilih jenis keuangan untuk melihat rekap</t>
  </si>
  <si>
    <t xml:space="preserve">Pilih jenis pembayaran untuk melihat rekapnya.</t>
  </si>
  <si>
    <t xml:space="preserve">Nominal</t>
  </si>
  <si>
    <t xml:space="preserve">Jumlah (Rp)</t>
  </si>
  <si>
    <t xml:space="preserve">Total Bayar</t>
  </si>
  <si>
    <t xml:space="preserve">Sudah dibayar (Rp)</t>
  </si>
  <si>
    <t xml:space="preserve">Kurang Bayar</t>
  </si>
  <si>
    <t xml:space="preserve">Sisa (Rp)</t>
  </si>
  <si>
    <t xml:space="preserve">Jurnal &amp; Refleksi Guru</t>
  </si>
  <si>
    <t xml:space="preserve">Refleksi</t>
  </si>
  <si>
    <t xml:space="preserve">Atur Refleksi</t>
  </si>
  <si>
    <t xml:space="preserve">Atur pertanyaan refleksi</t>
  </si>
  <si>
    <t xml:space="preserve">Tampilkan</t>
  </si>
  <si>
    <t xml:space="preserve">Hari ini / Minggu ini / Bulan ini / Semester ini</t>
  </si>
  <si>
    <t xml:space="preserve">Rentang mengikuti tanggal yang dipilih di atas.</t>
  </si>
  <si>
    <t xml:space="preserve">Dihitung dari tanggal di atas.</t>
  </si>
  <si>
    <t xml:space="preserve">Refleksi tidak disusun otomatis saat jurnal ditandai terlaksana. Klik tombol Susun di kanan atas untuk menyusun refleksi pada rentang ini (hanya jurnal terlaksana yang materinya sudah terisi), periksa/edit bila perlu, lalu konfirmasi per baris, per hari, atau sekaligus lewat tombol Konfirmasi di sebelahnya.</t>
  </si>
  <si>
    <t xml:space="preserve">Ketuk Susun untuk membuat refleksi dari jurnal yang terlaksana. Periksa, lalu ketuk Konfirmasi.</t>
  </si>
  <si>
    <t xml:space="preserve">Dipendekkan; rincian dipindah ke Bantuan</t>
  </si>
  <si>
    <t xml:space="preserve">Arsip Refleksi Mengajar</t>
  </si>
  <si>
    <t xml:space="preserve">Refleksi tersimpan</t>
  </si>
  <si>
    <t xml:space="preserve">Susun</t>
  </si>
  <si>
    <t xml:space="preserve">Susun refleksi</t>
  </si>
  <si>
    <t xml:space="preserve">Tulis Jurnal</t>
  </si>
  <si>
    <t xml:space="preserve">Isi jurnal</t>
  </si>
  <si>
    <t xml:space="preserve">Kegiatan Terjadwal</t>
  </si>
  <si>
    <t xml:space="preserve">Pelajaran</t>
  </si>
  <si>
    <t xml:space="preserve">Jam (dari Jadwal)</t>
  </si>
  <si>
    <t xml:space="preserve">Jam</t>
  </si>
  <si>
    <t xml:space="preserve">Mapel (dari Jadwal)</t>
  </si>
  <si>
    <t xml:space="preserve">Materi / Fokus Kegiatan</t>
  </si>
  <si>
    <t xml:space="preserve">Materi</t>
  </si>
  <si>
    <t xml:space="preserve">Aktivitas &amp; Catatan Kelas</t>
  </si>
  <si>
    <t xml:space="preserve">Yang terjadi di kelas</t>
  </si>
  <si>
    <t xml:space="preserve">Keterangan / Tindak Lanjut</t>
  </si>
  <si>
    <t xml:space="preserve">Tindak lanjut</t>
  </si>
  <si>
    <t xml:space="preserve">Simpan Jurnal</t>
  </si>
  <si>
    <t xml:space="preserve">Simpan jurnal</t>
  </si>
  <si>
    <t xml:space="preserve">Arsip Jurnal Mengajar</t>
  </si>
  <si>
    <t xml:space="preserve">Jurnal tersimpan</t>
  </si>
  <si>
    <t xml:space="preserve">Terlaksana</t>
  </si>
  <si>
    <t xml:space="preserve">Belum ada jurnal atau jadwal untuk ditampilkan.</t>
  </si>
  <si>
    <t xml:space="preserve">Belum ada jurnal pada rentang ini. Jurnal akan muncul setelah ada jadwal pelajaran.</t>
  </si>
  <si>
    <t xml:space="preserve">Catatan Anekdot</t>
  </si>
  <si>
    <t xml:space="preserve">Anekdot</t>
  </si>
  <si>
    <t xml:space="preserve">Bimbingan dan Konseling</t>
  </si>
  <si>
    <t xml:space="preserve">BK</t>
  </si>
  <si>
    <t xml:space="preserve">Buku Tamu</t>
  </si>
  <si>
    <t xml:space="preserve">Buku tamu</t>
  </si>
  <si>
    <t xml:space="preserve">Pindah ke Buku Sekolah</t>
  </si>
  <si>
    <t xml:space="preserve">Buku Humas</t>
  </si>
  <si>
    <t xml:space="preserve">Humas</t>
  </si>
  <si>
    <t xml:space="preserve">Catatan Prestasi</t>
  </si>
  <si>
    <t xml:space="preserve">Prestasi</t>
  </si>
  <si>
    <t xml:space="preserve">Notulen</t>
  </si>
  <si>
    <t xml:space="preserve">Catat Anekdot</t>
  </si>
  <si>
    <t xml:space="preserve">Tulis catatan</t>
  </si>
  <si>
    <t xml:space="preserve">Uraian Kejadian</t>
  </si>
  <si>
    <t xml:space="preserve">Apa yang terjadi</t>
  </si>
  <si>
    <t xml:space="preserve">Simpan Catatan</t>
  </si>
  <si>
    <t xml:space="preserve">Simpan catatan</t>
  </si>
  <si>
    <t xml:space="preserve">Buku Catatan Anekdot</t>
  </si>
  <si>
    <t xml:space="preserve">Catatan anekdot</t>
  </si>
  <si>
    <t xml:space="preserve">Rekap</t>
  </si>
  <si>
    <t xml:space="preserve">Belum ada catatan</t>
  </si>
  <si>
    <t xml:space="preserve">Belum ada catatan. Tulis saat ada kejadian penting di kelas.</t>
  </si>
  <si>
    <t xml:space="preserve">Inventaris Kelas</t>
  </si>
  <si>
    <t xml:space="preserve">Inventaris kelas</t>
  </si>
  <si>
    <t xml:space="preserve">Input Barang</t>
  </si>
  <si>
    <t xml:space="preserve">Tambah barang</t>
  </si>
  <si>
    <t xml:space="preserve">Filter Pencarian Barang</t>
  </si>
  <si>
    <t xml:space="preserve">Cari barang</t>
  </si>
  <si>
    <t xml:space="preserve">Daftar barang standar siap dipilih.</t>
  </si>
  <si>
    <t xml:space="preserve">Pilih dari daftar barang yang umum di kelas.</t>
  </si>
  <si>
    <t xml:space="preserve">Nama Fasilitas/Barang</t>
  </si>
  <si>
    <t xml:space="preserve">Nama barang</t>
  </si>
  <si>
    <t xml:space="preserve">Nama Barang Lainnya</t>
  </si>
  <si>
    <t xml:space="preserve">Barang lain</t>
  </si>
  <si>
    <t xml:space="preserve">Digunakan jika barang tidak tersedia pada daftar standar.</t>
  </si>
  <si>
    <t xml:space="preserve">Isi bila barang tidak ada di daftar.</t>
  </si>
  <si>
    <t xml:space="preserve">Jumlah</t>
  </si>
  <si>
    <t xml:space="preserve">Tahun</t>
  </si>
  <si>
    <t xml:space="preserve">Tahun pengadaan</t>
  </si>
  <si>
    <t xml:space="preserve">Kondisi</t>
  </si>
  <si>
    <t xml:space="preserve">Baik / Rusak Ringan / Rusak Berat</t>
  </si>
  <si>
    <t xml:space="preserve">Baik / Rusak ringan / Rusak berat</t>
  </si>
  <si>
    <t xml:space="preserve">Sumber Dana</t>
  </si>
  <si>
    <t xml:space="preserve">Sumber dana</t>
  </si>
  <si>
    <t xml:space="preserve">BOS</t>
  </si>
  <si>
    <t xml:space="preserve">Hibah / Bantuan</t>
  </si>
  <si>
    <t xml:space="preserve">Hibah/bantuan</t>
  </si>
  <si>
    <t xml:space="preserve">Swadaya / Mandiri</t>
  </si>
  <si>
    <t xml:space="preserve">Swadaya</t>
  </si>
  <si>
    <t xml:space="preserve">Simpan Barang</t>
  </si>
  <si>
    <t xml:space="preserve">Simpan barang</t>
  </si>
  <si>
    <t xml:space="preserve">Daftar Inventaris</t>
  </si>
  <si>
    <t xml:space="preserve">Daftar barang</t>
  </si>
  <si>
    <t xml:space="preserve">Nama Barang</t>
  </si>
  <si>
    <t xml:space="preserve">Barang</t>
  </si>
  <si>
    <t xml:space="preserve">Jml</t>
  </si>
  <si>
    <t xml:space="preserve">Thn</t>
  </si>
  <si>
    <t xml:space="preserve">Belum ada barang diinventarisasi</t>
  </si>
  <si>
    <t xml:space="preserve">Belum ada barang. Tambahkan barang yang ada di kelas Anda.</t>
  </si>
  <si>
    <t xml:space="preserve">Kenaikan Kelas</t>
  </si>
  <si>
    <t xml:space="preserve">Tentukan status siswa untuk tahun ajaran berikutnya.</t>
  </si>
  <si>
    <t xml:space="preserve">Tentukan status setiap siswa untuk tahun ajaran depan.</t>
  </si>
  <si>
    <t xml:space="preserve">Tandai Semua Naik</t>
  </si>
  <si>
    <t xml:space="preserve">Tandai semua naik</t>
  </si>
  <si>
    <t xml:space="preserve">Tandai Semua Lulus</t>
  </si>
  <si>
    <t xml:space="preserve">Tandai semua lulus</t>
  </si>
  <si>
    <t xml:space="preserve">Hanya tampil di kelas 6</t>
  </si>
  <si>
    <t xml:space="preserve">Keputusan Siswa</t>
  </si>
  <si>
    <t xml:space="preserve">Status siswa</t>
  </si>
  <si>
    <t xml:space="preserve">Riwayat tahun lama tidak dihapus</t>
  </si>
  <si>
    <t xml:space="preserve">Data tahun sebelumnya tetap tersimpan.</t>
  </si>
  <si>
    <t xml:space="preserve">Saldo</t>
  </si>
  <si>
    <t xml:space="preserve">Simpan Draf</t>
  </si>
  <si>
    <t xml:space="preserve">Simpan draf</t>
  </si>
  <si>
    <t xml:space="preserve">Tetapkan Kenaikan Kelas</t>
  </si>
  <si>
    <t xml:space="preserve">Tetapkan kenaikan</t>
  </si>
  <si>
    <t xml:space="preserve">JP per minggu harus bilangan bulat 1–40.</t>
  </si>
  <si>
    <t xml:space="preserve">JP per minggu harus angka bulat antara 1 dan 40.</t>
  </si>
  <si>
    <t xml:space="preserve">Tema wajib diisi.</t>
  </si>
  <si>
    <t xml:space="preserve">Isi tema kegiatan.</t>
  </si>
  <si>
    <t xml:space="preserve">Galat formulir cukup menyebut apa yang perlu diisi</t>
  </si>
  <si>
    <t xml:space="preserve">Deskripsi kegiatan wajib diisi.</t>
  </si>
  <si>
    <t xml:space="preserve">Isi deskripsi kegiatan.</t>
  </si>
  <si>
    <t xml:space="preserve">Pilih jenis kegiatan.</t>
  </si>
  <si>
    <t xml:space="preserve">Target JP per tahun minimal 1.</t>
  </si>
  <si>
    <t xml:space="preserve">Pilih minimal satu dimensi profil lulusan.</t>
  </si>
  <si>
    <t xml:space="preserve">Projek membutuhkan hasil projek dan minimal satu mata pelajaran terkait.</t>
  </si>
  <si>
    <t xml:space="preserve">Projek perlu hasil projek dan minimal satu mata pelajaran terkait.</t>
  </si>
  <si>
    <t xml:space="preserve">Pembelajaran kolaboratif membutuhkan minimal dua mata pelajaran terkait.</t>
  </si>
  <si>
    <t xml:space="preserve">Pembelajaran kolaboratif perlu minimal dua mata pelajaran terkait.</t>
  </si>
  <si>
    <t xml:space="preserve">Gerakan 7 KAIH membutuhkan fokus kebiasaan dan pola pelaksanaan.</t>
  </si>
  <si>
    <t xml:space="preserve">Gerakan 7 KAIH perlu fokus kebiasaan dan pola pelaksanaan.</t>
  </si>
  <si>
    <t xml:space="preserve">Lengkapi mapel, kelas, semester, materi, CP, dan minimal satu TP.</t>
  </si>
  <si>
    <t xml:space="preserve">Lengkapi mata pelajaran, kelas, semester, materi, CP, dan minimal satu TP.</t>
  </si>
  <si>
    <t xml:space="preserve">Alokasi JP dan rentang minggu harus valid.</t>
  </si>
  <si>
    <t xml:space="preserve">Periksa lagi alokasi JP dan rentang minggunya.</t>
  </si>
  <si>
    <t xml:space="preserve">Hindari kata "valid"</t>
  </si>
  <si>
    <t xml:space="preserve">Data dengan mapel, kelas, semester, dan materi yang sama sudah tersedia.</t>
  </si>
  <si>
    <t xml:space="preserve">Materi ini sudah ada untuk mata pelajaran, kelas, dan semester yang sama.</t>
  </si>
  <si>
    <t xml:space="preserve">Nilai alokasi, urutan, dan minggu tidak valid.</t>
  </si>
  <si>
    <t xml:space="preserve">Periksa lagi alokasi, urutan, dan minggu. Ketiganya harus berupa angka.</t>
  </si>
  <si>
    <t xml:space="preserve">Nama dan tanggal wajib diisi.</t>
  </si>
  <si>
    <t xml:space="preserve">Isi nama dan tanggal.</t>
  </si>
  <si>
    <t xml:space="preserve">Siswa dan tanggal wajib dipilih.</t>
  </si>
  <si>
    <t xml:space="preserve">Pilih siswa dan tanggal.</t>
  </si>
  <si>
    <t xml:space="preserve">Nama wajib diisi.</t>
  </si>
  <si>
    <t xml:space="preserve">Isi nama.</t>
  </si>
  <si>
    <t xml:space="preserve">Nominal harus lebih dari 0.</t>
  </si>
  <si>
    <t xml:space="preserve">Nominal harus lebih dari Rp0.</t>
  </si>
  <si>
    <t xml:space="preserve">Tanggal wajib diisi.</t>
  </si>
  <si>
    <t xml:space="preserve">Isi tanggal.</t>
  </si>
  <si>
    <t xml:space="preserve">Siswa wajib dipilih.</t>
  </si>
  <si>
    <t xml:space="preserve">Pilih siswa.</t>
  </si>
  <si>
    <t xml:space="preserve">Nominal tidak boleh negatif.</t>
  </si>
  <si>
    <t xml:space="preserve">Nominal tidak boleh kurang dari Rp0.</t>
  </si>
  <si>
    <t xml:space="preserve">Ketiga bagian harus diisi.</t>
  </si>
  <si>
    <t xml:space="preserve">Isi ketiga bagian.</t>
  </si>
  <si>
    <t xml:space="preserve">Tanggal akhir tidak boleh sebelum tanggal mulai.</t>
  </si>
  <si>
    <t xml:space="preserve">Tanggal selesai harus sama dengan atau setelah tanggal mulai.</t>
  </si>
  <si>
    <t xml:space="preserve">Keterangan wajib diisi.</t>
  </si>
  <si>
    <t xml:space="preserve">Isi keterangan.</t>
  </si>
  <si>
    <t xml:space="preserve">Centang konfirmasi terlebih dahulu.</t>
  </si>
  <si>
    <t xml:space="preserve">Centang kotak persetujuan untuk melanjutkan.</t>
  </si>
  <si>
    <t xml:space="preserve">Impor Cadangan Administrasi?</t>
  </si>
  <si>
    <t xml:space="preserve">Pulihkan data dari file cadangan?</t>
  </si>
  <si>
    <t xml:space="preserve">Data pada berkas akan menggantikan tampilan lokal akun ini dan disinkronkan ke Firestore.</t>
  </si>
  <si>
    <t xml:space="preserve">Data di file akan menggantikan data kelas Anda saat ini.</t>
  </si>
  <si>
    <t xml:space="preserve">Tanpa kata Firestore</t>
  </si>
  <si>
    <t xml:space="preserve">Ya, Impor</t>
  </si>
  <si>
    <t xml:space="preserve">Pulihkan data</t>
  </si>
  <si>
    <t xml:space="preserve">Tombol menyebut tindakan</t>
  </si>
  <si>
    <t xml:space="preserve">Data kelas hampir penuh</t>
  </si>
  <si>
    <t xml:space="preserve">Penyimpanan kelas hampir penuh</t>
  </si>
  <si>
    <t xml:space="preserve">Setelah migrasi SQL, batas ini kemungkinan hilang</t>
  </si>
  <si>
    <t xml:space="preserve">Sinkronisasi Gagal</t>
  </si>
  <si>
    <t xml:space="preserve">Belum tersimpan ke server</t>
  </si>
  <si>
    <t xml:space="preserve">{…} belum masuk Cloud. Cadangan tetap tersimpan di perangkat ini: {…}</t>
  </si>
  <si>
    <t xml:space="preserve">{…} belum terkirim ke server. Salinannya aman di perangkat ini dan akan dikirim saat tersambung. ({…})</t>
  </si>
  <si>
    <t xml:space="preserve">Membuka Brankas...</t>
  </si>
  <si>
    <t xml:space="preserve">Membuka data kelas…</t>
  </si>
  <si>
    <t xml:space="preserve">"Brankas" tidak jelas</t>
  </si>
  <si>
    <t xml:space="preserve">Menyinkronkan data Cloud</t>
  </si>
  <si>
    <t xml:space="preserve">Mengambil data terbaru…</t>
  </si>
  <si>
    <t xml:space="preserve">Bawaan Kelas Diterapkan</t>
  </si>
  <si>
    <t xml:space="preserve">Pengaturan bawaan kelas dipakai</t>
  </si>
  <si>
    <t xml:space="preserve">Sebagian Data Tambahan Gagal Dimuat</t>
  </si>
  <si>
    <t xml:space="preserve">Sebagian data belum termuat</t>
  </si>
  <si>
    <t xml:space="preserve">Data utama sudah berhasil dari Cloud dan aman. Sebagian data pelengkap (mis. inventaris/kokurikuler) belum termuat ({…}) -- coba muat ulang halaman kalau data itu diperlukan sekarang.</t>
  </si>
  <si>
    <t xml:space="preserve">Data utama sudah termuat dan aman. Sebagian data tambahan (misalnya inventaris atau kokurikuler) belum termuat. Muat ulang halaman bila Anda membutuhkannya.</t>
  </si>
  <si>
    <t xml:space="preserve">Tanggal Dokumen Perencanaan</t>
  </si>
  <si>
    <t xml:space="preserve">Tanggal dokumen perencanaan</t>
  </si>
  <si>
    <t xml:space="preserve">Nama Kota Belum Diisi</t>
  </si>
  <si>
    <t xml:space="preserve">Nama kota belum diisi</t>
  </si>
  <si>
    <t xml:space="preserve">Jangan ingatkan lagi</t>
  </si>
  <si>
    <t xml:space="preserve">Gagal</t>
  </si>
  <si>
    <t xml:space="preserve">Belum berhasil</t>
  </si>
  <si>
    <t xml:space="preserve">Judul dialog galat tidak cukup "Gagal"</t>
  </si>
  <si>
    <t xml:space="preserve">Download Excel bermasalah</t>
  </si>
  <si>
    <t xml:space="preserve">File Excel belum berhasil diunduh. Coba lagi.</t>
  </si>
  <si>
    <t xml:space="preserve">Pilih Bulan</t>
  </si>
  <si>
    <t xml:space="preserve">Pilih bulan</t>
  </si>
  <si>
    <t xml:space="preserve">Pembuat PDF Belum Tersedia</t>
  </si>
  <si>
    <t xml:space="preserve">Pembuat PDF belum siap</t>
  </si>
  <si>
    <t xml:space="preserve">Muat ulang aplikasi saat terhubung internet, lalu coba download PDF kembali.</t>
  </si>
  <si>
    <t xml:space="preserve">Muat ulang aplikasi saat tersambung internet, lalu unduh PDF lagi.</t>
  </si>
  <si>
    <t xml:space="preserve">Menyiapkan PDF...</t>
  </si>
  <si>
    <t xml:space="preserve">Dokumen akan langsung diunduh.</t>
  </si>
  <si>
    <t xml:space="preserve">PDF Diunduh</t>
  </si>
  <si>
    <t xml:space="preserve">PDF diunduh</t>
  </si>
  <si>
    <t xml:space="preserve">Berkas PDF sudah masuk ke folder unduhan perangkat.</t>
  </si>
  <si>
    <t xml:space="preserve">File PDF ada di folder Unduhan perangkat Anda.</t>
  </si>
  <si>
    <t xml:space="preserve">Download PDF Gagal</t>
  </si>
  <si>
    <t xml:space="preserve">PDF belum berhasil diunduh</t>
  </si>
  <si>
    <t xml:space="preserve">Cover Belum Siap</t>
  </si>
  <si>
    <t xml:space="preserve">Sampul belum siap</t>
  </si>
  <si>
    <t xml:space="preserve">Muat ulang halaman lalu coba lagi.</t>
  </si>
  <si>
    <t xml:space="preserve">Muat ulang halaman, lalu coba lagi.</t>
  </si>
  <si>
    <t xml:space="preserve">Popup Diblokir</t>
  </si>
  <si>
    <t xml:space="preserve">Jendela cetak diblokir</t>
  </si>
  <si>
    <t xml:space="preserve">Izinkan popup browser untuk mencetak.</t>
  </si>
  <si>
    <t xml:space="preserve">Izinkan pop-up di browser Anda agar bisa mencetak.</t>
  </si>
  <si>
    <t xml:space="preserve">Pilih Siswa</t>
  </si>
  <si>
    <t xml:space="preserve">Pilih siswa</t>
  </si>
  <si>
    <t xml:space="preserve">Nama Kegiatan Sudah Digunakan</t>
  </si>
  <si>
    <t xml:space="preserve">Nama kegiatan sudah dipakai</t>
  </si>
  <si>
    <t xml:space="preserve">Selesaikan atau ubah data dengan nama yang sama terlebih dahulu agar tidak terjadi duplikasi.</t>
  </si>
  <si>
    <t xml:space="preserve">Ganti nama kegiatan, atau ubah kegiatan yang sudah ada agar tidak dobel.</t>
  </si>
  <si>
    <t xml:space="preserve">Gunakan</t>
  </si>
  <si>
    <t xml:space="preserve">Pakai</t>
  </si>
  <si>
    <t xml:space="preserve">Satu istilah: Pakai</t>
  </si>
  <si>
    <t xml:space="preserve">Rencana Digunakan</t>
  </si>
  <si>
    <t xml:space="preserve">Rencana sekolah dipakai</t>
  </si>
  <si>
    <t xml:space="preserve">Data jadwal guru tetap terpisah dari rencana Kepala Sekolah.</t>
  </si>
  <si>
    <t xml:space="preserve">Jadwal Anda tetap terpisah dari rencana kepala sekolah.</t>
  </si>
  <si>
    <t xml:space="preserve">Kegiatan Sudah Ada</t>
  </si>
  <si>
    <t xml:space="preserve">Kegiatan sudah ada</t>
  </si>
  <si>
    <t xml:space="preserve">Deskripsi kegiatan yang sama sudah tersedia di kelas Anda. Ubah teksnya atau edit kegiatan yang sudah ada.</t>
  </si>
  <si>
    <t xml:space="preserve">Kegiatan dengan deskripsi yang sama sudah ada di kelas Anda. Ubah deskripsinya atau buka kegiatan yang sudah ada.</t>
  </si>
  <si>
    <t xml:space="preserve">Kegiatan Disimpan</t>
  </si>
  <si>
    <t xml:space="preserve">Kegiatan disimpan</t>
  </si>
  <si>
    <t xml:space="preserve">Target tahunan dan kebutuhan jadwal tersimpan tanpa menimpa data lain.</t>
  </si>
  <si>
    <t xml:space="preserve">Target tahunan dan kebutuhan jadwal tersimpan. Data lain tidak berubah.</t>
  </si>
  <si>
    <t xml:space="preserve">Edit Muatan Kokurikuler</t>
  </si>
  <si>
    <t xml:space="preserve">Ubah kegiatan kokurikuler</t>
  </si>
  <si>
    <t xml:space="preserve">Edit → Ubah</t>
  </si>
  <si>
    <t xml:space="preserve">Nama Sudah Digunakan</t>
  </si>
  <si>
    <t xml:space="preserve">Nama sudah dipakai</t>
  </si>
  <si>
    <t xml:space="preserve">Muatan Diperbarui</t>
  </si>
  <si>
    <t xml:space="preserve">Kegiatan diperbarui</t>
  </si>
  <si>
    <t xml:space="preserve">Hapus Muatan Kokurikuler?</t>
  </si>
  <si>
    <t xml:space="preserve">Hapus kegiatan kokurikuler ini?</t>
  </si>
  <si>
    <t xml:space="preserve">Ya, Hapus</t>
  </si>
  <si>
    <t xml:space="preserve">Hapus</t>
  </si>
  <si>
    <t xml:space="preserve">Tombol hapus cukup "Hapus" atau "Hapus [benda]", bukan "Ya, Hapus"</t>
  </si>
  <si>
    <t xml:space="preserve">Penghapusan Dibatalkan</t>
  </si>
  <si>
    <t xml:space="preserve">Belum berhasil dihapus</t>
  </si>
  <si>
    <t xml:space="preserve">Sinkronisasi Cloud gagal. Data dikembalikan seperti semula; coba lagi saat koneksi stabil.</t>
  </si>
  <si>
    <t xml:space="preserve">Data belum tersimpan ke server, jadi dikembalikan seperti semula. Coba lagi saat koneksi stabil.</t>
  </si>
  <si>
    <t xml:space="preserve">Edit Nama Mata Pelajaran</t>
  </si>
  <si>
    <t xml:space="preserve">Ubah nama mata pelajaran</t>
  </si>
  <si>
    <t xml:space="preserve">Tidak ada perubahan</t>
  </si>
  <si>
    <t xml:space="preserve">Nama mata pelajaran sama seperti sebelumnya.</t>
  </si>
  <si>
    <t xml:space="preserve">Nama mata pelajaran masih sama.</t>
  </si>
  <si>
    <t xml:space="preserve">Sudah tersedia</t>
  </si>
  <si>
    <t xml:space="preserve">Sudah ada</t>
  </si>
  <si>
    <t xml:space="preserve">Nama mata pelajaran tersebut sudah ada.</t>
  </si>
  <si>
    <t xml:space="preserve">Mata pelajaran dengan nama ini sudah ada.</t>
  </si>
  <si>
    <t xml:space="preserve">Nama Mapel Diperbarui</t>
  </si>
  <si>
    <t xml:space="preserve">Nama mata pelajaran diperbarui</t>
  </si>
  <si>
    <t xml:space="preserve">Hapus Mata Pelajaran?</t>
  </si>
  <si>
    <t xml:space="preserve">Hapus mata pelajaran ini?</t>
  </si>
  <si>
    <t xml:space="preserve">Mata Pelajaran Dihapus</t>
  </si>
  <si>
    <t xml:space="preserve">Mata pelajaran dihapus</t>
  </si>
  <si>
    <t xml:space="preserve">Tidak ada mapel bawaan yang disembunyikan</t>
  </si>
  <si>
    <t xml:space="preserve">Semua mata pelajaran bawaan sudah tampil</t>
  </si>
  <si>
    <t xml:space="preserve">Kalimat positif</t>
  </si>
  <si>
    <t xml:space="preserve">Pulihkan</t>
  </si>
  <si>
    <t xml:space="preserve">Tampilkan lagi</t>
  </si>
  <si>
    <t xml:space="preserve">Mata Pelajaran Dipulihkan</t>
  </si>
  <si>
    <t xml:space="preserve">Mata pelajaran ditampilkan lagi</t>
  </si>
  <si>
    <t xml:space="preserve">Contoh: Bahasa Daerah</t>
  </si>
  <si>
    <t xml:space="preserve">Contoh: Bahasa Jawa</t>
  </si>
  <si>
    <t xml:space="preserve">Contoh lokal Kudus</t>
  </si>
  <si>
    <t xml:space="preserve">Lanjut</t>
  </si>
  <si>
    <t xml:space="preserve">Mata pelajaran tersebut sudah ada.</t>
  </si>
  <si>
    <t xml:space="preserve">Mata pelajaran ini sudah ada.</t>
  </si>
  <si>
    <t xml:space="preserve">Lengkapi Struktur CP/TP untuk "{…}"</t>
  </si>
  <si>
    <t xml:space="preserve">Lengkapi CP dan TP untuk "{…}"</t>
  </si>
  <si>
    <t xml:space="preserve">Simpan Mata Pelajaran</t>
  </si>
  <si>
    <t xml:space="preserve">Simpan mata pelajaran</t>
  </si>
  <si>
    <t xml:space="preserve">Mata Pelajaran Ditambahkan</t>
  </si>
  <si>
    <t xml:space="preserve">Mata pelajaran ditambahkan</t>
  </si>
  <si>
    <t xml:space="preserve">Versi Cloud Belum Terbaca</t>
  </si>
  <si>
    <t xml:space="preserve">Versi kurikulum belum termuat</t>
  </si>
  <si>
    <t xml:space="preserve">Master EDUNEXA tetap aman. Coba Muat Ulang lagi setelah koneksi stabil.</t>
  </si>
  <si>
    <t xml:space="preserve">Kurikulum bawaan Sigrak tetap aman. Muat ulang setelah koneksi stabil.</t>
  </si>
  <si>
    <t xml:space="preserve">Master EDUNEXA → kurikulum bawaan</t>
  </si>
  <si>
    <t xml:space="preserve">Master EDUNEXA tetap aman. Silakan coba lagi setelah koneksi stabil.</t>
  </si>
  <si>
    <t xml:space="preserve">Kurikulum bawaan Sigrak tetap aman. Coba lagi setelah koneksi stabil.</t>
  </si>
  <si>
    <t xml:space="preserve">Pilihan Belum Lengkap</t>
  </si>
  <si>
    <t xml:space="preserve">Pilihan belum lengkap</t>
  </si>
  <si>
    <t xml:space="preserve">Pilih mata pelajaran dan versi kurikulum.</t>
  </si>
  <si>
    <t xml:space="preserve">Versi Tidak Tersedia</t>
  </si>
  <si>
    <t xml:space="preserve">Versi tidak tersedia</t>
  </si>
  <si>
    <t xml:space="preserve">Muat ulang halaman dan pilih versi yang masih tersedia.</t>
  </si>
  <si>
    <t xml:space="preserve">Muat ulang halaman, lalu pilih versi yang masih tersedia.</t>
  </si>
  <si>
    <t xml:space="preserve">Versi Belum Dapat Digunakan</t>
  </si>
  <si>
    <t xml:space="preserve">Versi ini belum bisa dipakai</t>
  </si>
  <si>
    <t xml:space="preserve">Versi Belum Dapat Dibuka</t>
  </si>
  <si>
    <t xml:space="preserve">Versi ini belum bisa dibuka</t>
  </si>
  <si>
    <t xml:space="preserve">Gunakan Versi Kurikulum Ini?</t>
  </si>
  <si>
    <t xml:space="preserve">Pakai versi kurikulum ini?</t>
  </si>
  <si>
    <t xml:space="preserve">Kurikulum Tidak Ditemukan</t>
  </si>
  <si>
    <t xml:space="preserve">Kurikulum belum termuat</t>
  </si>
  <si>
    <t xml:space="preserve">Berkas data_kurikulum_dengan_cp.json belum dapat dibaca. Menu lain tetap aman digunakan.</t>
  </si>
  <si>
    <t xml:space="preserve">Data kurikulum belum berhasil dimuat. Menu lain tetap bisa dipakai.</t>
  </si>
  <si>
    <t xml:space="preserve">Nama file tidak ditampilkan</t>
  </si>
  <si>
    <t xml:space="preserve">Versi Publish Hanya Baca</t>
  </si>
  <si>
    <t xml:space="preserve">Kurikulum bawaan tidak bisa diubah</t>
  </si>
  <si>
    <t xml:space="preserve">Struktur versi cloud tidak dapat ditambah dari Portal Guru. Ubah sumber di Super Admin lalu publish sebagai revisi baru.</t>
  </si>
  <si>
    <t xml:space="preserve">Kurikulum bawaan tidak bisa ditambah dari akun guru. Untuk menambah materi sendiri, pakai Tambah materi sekolah; materi itu akan divalidasi kepala sekolah dan pengawas.</t>
  </si>
  <si>
    <t xml:space="preserve">Tambah Data Kurikulum</t>
  </si>
  <si>
    <t xml:space="preserve">Tambah Data</t>
  </si>
  <si>
    <t xml:space="preserve">Kurikulum Ditambahkan</t>
  </si>
  <si>
    <t xml:space="preserve">Materi ditambahkan</t>
  </si>
  <si>
    <t xml:space="preserve">CP/TP/ATP versi cloud dikunci. Revisi dibuat melalui Super Admin sebagai versi baru.</t>
  </si>
  <si>
    <t xml:space="preserve">CP, TP, dan ATP bawaan dikunci. Sesuaikan lewat materi sekolah yang akan divalidasi.</t>
  </si>
  <si>
    <t xml:space="preserve">Edit Data Kurikulum</t>
  </si>
  <si>
    <t xml:space="preserve">Ubah materi</t>
  </si>
  <si>
    <t xml:space="preserve">Kurikulum Diperbarui</t>
  </si>
  <si>
    <t xml:space="preserve">Materi diperbarui</t>
  </si>
  <si>
    <t xml:space="preserve">Versi cloud tidak dapat dihapus oleh guru.</t>
  </si>
  <si>
    <t xml:space="preserve">Kurikulum bawaan tidak bisa dihapus.</t>
  </si>
  <si>
    <t xml:space="preserve">Hapus data kurikulum?</t>
  </si>
  <si>
    <t xml:space="preserve">Hapus materi ini?</t>
  </si>
  <si>
    <t xml:space="preserve">Kurikulum Dihapus</t>
  </si>
  <si>
    <t xml:space="preserve">Materi dihapus</t>
  </si>
  <si>
    <t xml:space="preserve">Penyesuaian Tersimpan</t>
  </si>
  <si>
    <t xml:space="preserve">Penyesuaian disimpan</t>
  </si>
  <si>
    <t xml:space="preserve">Belum ada penyesuaian</t>
  </si>
  <si>
    <t xml:space="preserve">Reset penyesuaian?</t>
  </si>
  <si>
    <t xml:space="preserve">Kembalikan ke perhitungan otomatis?</t>
  </si>
  <si>
    <t xml:space="preserve">Hindari kata Reset</t>
  </si>
  <si>
    <t xml:space="preserve">Prota dan Promes akan kembali ke data ATP otomatis.</t>
  </si>
  <si>
    <t xml:space="preserve">Prota dan Promes akan dihitung ulang dari ATP. Penyesuaian Anda dihapus.</t>
  </si>
  <si>
    <t xml:space="preserve">Reset</t>
  </si>
  <si>
    <t xml:space="preserve">Kembalikan</t>
  </si>
  <si>
    <t xml:space="preserve">Kembali ke Data Otomatis</t>
  </si>
  <si>
    <t xml:space="preserve">Kembali ke perhitungan otomatis</t>
  </si>
  <si>
    <t xml:space="preserve">Struktur Sudah Menggunakan Master</t>
  </si>
  <si>
    <t xml:space="preserve">Sudah memakai kurikulum bawaan</t>
  </si>
  <si>
    <t xml:space="preserve">Tidak ditemukan penyesuaian pada data bawaan kelas dan versi ini.</t>
  </si>
  <si>
    <t xml:space="preserve">Tidak ada penyesuaian untuk kelas dan versi ini.</t>
  </si>
  <si>
    <t xml:space="preserve">Pulihkan Struktur Master?</t>
  </si>
  <si>
    <t xml:space="preserve">Kembalikan ke kurikulum bawaan?</t>
  </si>
  <si>
    <t xml:space="preserve">Struktur Master Dipulihkan</t>
  </si>
  <si>
    <t xml:space="preserve">Kurikulum bawaan dipakai lagi</t>
  </si>
  <si>
    <t xml:space="preserve">CP, TP, ATP, Prota, dan Promes sekarang kembali menggunakan database master terbaru.</t>
  </si>
  <si>
    <t xml:space="preserve">CP, TP, ATP, Prota, dan Promes kini memakai kurikulum bawaan terbaru.</t>
  </si>
  <si>
    <t xml:space="preserve">Riwayat Tidak Ditemukan</t>
  </si>
  <si>
    <t xml:space="preserve">Riwayat tidak ditemukan</t>
  </si>
  <si>
    <t xml:space="preserve">Hapus Riwayat Mutasi?</t>
  </si>
  <si>
    <t xml:space="preserve">Hapus riwayat pindah ini?</t>
  </si>
  <si>
    <t xml:space="preserve">Mutasi → pindah/keluar</t>
  </si>
  <si>
    <t xml:space="preserve">Riwayat Mutasi Dihapus</t>
  </si>
  <si>
    <t xml:space="preserve">Riwayat dihapus</t>
  </si>
  <si>
    <t xml:space="preserve">Gagal Menghapus</t>
  </si>
  <si>
    <t xml:space="preserve">Data dikembalikan seperti semula. Periksa koneksi lalu coba lagi.</t>
  </si>
  <si>
    <t xml:space="preserve">Data dikembalikan seperti semula. Periksa koneksi, lalu coba lagi.</t>
  </si>
  <si>
    <t xml:space="preserve">Siswa Pindahan Masuk</t>
  </si>
  <si>
    <t xml:space="preserve">Tambah siswa pindahan</t>
  </si>
  <si>
    <t xml:space="preserve">Simpan Siswa</t>
  </si>
  <si>
    <t xml:space="preserve">Siswa sudah terdaftar</t>
  </si>
  <si>
    <t xml:space="preserve">NIS/NISN tersebut sudah digunakan.</t>
  </si>
  <si>
    <t xml:space="preserve">NIS atau NISN ini sudah dipakai siswa lain.</t>
  </si>
  <si>
    <t xml:space="preserve">Siswa Pindahan Ditambahkan</t>
  </si>
  <si>
    <t xml:space="preserve">Siswa pindahan ditambahkan</t>
  </si>
  <si>
    <t xml:space="preserve">Tidak ada siswa aktif</t>
  </si>
  <si>
    <t xml:space="preserve">Belum ada siswa aktif</t>
  </si>
  <si>
    <t xml:space="preserve">Siswa Pindahan Keluar</t>
  </si>
  <si>
    <t xml:space="preserve">Catat siswa keluar</t>
  </si>
  <si>
    <t xml:space="preserve">Proses Keluar</t>
  </si>
  <si>
    <t xml:space="preserve">Catat keluar</t>
  </si>
  <si>
    <t xml:space="preserve">Mutasi Keluar Tersimpan</t>
  </si>
  <si>
    <t xml:space="preserve">Siswa keluar dicatat</t>
  </si>
  <si>
    <t xml:space="preserve">Pindah Kelas / Rombel</t>
  </si>
  <si>
    <t xml:space="preserve">Pindahkan</t>
  </si>
  <si>
    <t xml:space="preserve">Pindah Kelas Tersimpan</t>
  </si>
  <si>
    <t xml:space="preserve">Pindah rombel tersimpan</t>
  </si>
  <si>
    <t xml:space="preserve">{…} masuk ke {…}.</t>
  </si>
  <si>
    <t xml:space="preserve">{…} kini di {…}.</t>
  </si>
  <si>
    <t xml:space="preserve">Perlu Koneksi</t>
  </si>
  <si>
    <t xml:space="preserve">Perlu koneksi internet</t>
  </si>
  <si>
    <t xml:space="preserve">Pengampu kokurikuler disimpan di Cloud agar terbaca Portal Guru dan Monitor. Sambungkan internet lalu coba lagi.</t>
  </si>
  <si>
    <t xml:space="preserve">Pengampu kokurikuler perlu disimpan ke server agar terlihat oleh guru lain dan kepala sekolah. Sambungkan internet, lalu coba lagi.</t>
  </si>
  <si>
    <t xml:space="preserve">Kokurikuler "{…}" diampu {…}?</t>
  </si>
  <si>
    <t xml:space="preserve">Kokurikuler "{…}" diajar oleh {…}?</t>
  </si>
  <si>
    <t xml:space="preserve">Ya, tandai</t>
  </si>
  <si>
    <t xml:space="preserve">Pengampu mapel disimpan di Cloud agar terbaca Portal Guru dan Monitor. Sambungkan internet lalu coba lagi.</t>
  </si>
  <si>
    <t xml:space="preserve">Pengampu mata pelajaran perlu disimpan ke server agar terlihat oleh guru lain dan kepala sekolah. Sambungkan internet, lalu coba lagi.</t>
  </si>
  <si>
    <t xml:space="preserve">Mapel {…} diampu guru mapel?</t>
  </si>
  <si>
    <t xml:space="preserve">Mata pelajaran {…} diajar guru mapel?</t>
  </si>
  <si>
    <t xml:space="preserve">Ya, diampu guru mapel</t>
  </si>
  <si>
    <t xml:space="preserve">Ya, diajar guru mapel</t>
  </si>
  <si>
    <t xml:space="preserve">Tidak Ada Target Absensi</t>
  </si>
  <si>
    <t xml:space="preserve">Belum ada jadwal absensi</t>
  </si>
  <si>
    <t xml:space="preserve">Presensi Mapel {…}</t>
  </si>
  <si>
    <t xml:space="preserve">Absensi {…}</t>
  </si>
  <si>
    <t xml:space="preserve">Satu istilah: Absensi (bukan Presensi)</t>
  </si>
  <si>
    <t xml:space="preserve">Presensi {…}</t>
  </si>
  <si>
    <t xml:space="preserve">Detail Siswa</t>
  </si>
  <si>
    <t xml:space="preserve">Detail siswa</t>
  </si>
  <si>
    <t xml:space="preserve">Data Siswa Tidak Ditemukan</t>
  </si>
  <si>
    <t xml:space="preserve">Siswa tidak ditemukan</t>
  </si>
  <si>
    <t xml:space="preserve">Hapus Data Siswa?</t>
  </si>
  <si>
    <t xml:space="preserve">Hapus data siswa ini?</t>
  </si>
  <si>
    <t xml:space="preserve">Ya, Hapus Siswa</t>
  </si>
  <si>
    <t xml:space="preserve">Hapus siswa</t>
  </si>
  <si>
    <t xml:space="preserve">Sinkronisasi Cloud gagal. Data siswa telah dikembalikan ke kondisi sebelumnya.</t>
  </si>
  <si>
    <t xml:space="preserve">Data siswa belum tersimpan ke server, jadi dikembalikan seperti semula.</t>
  </si>
  <si>
    <t xml:space="preserve">Data Siswa Dihapus</t>
  </si>
  <si>
    <t xml:space="preserve">Data siswa dihapus</t>
  </si>
  <si>
    <t xml:space="preserve">{…} telah dihapus dari daftar siswa.</t>
  </si>
  <si>
    <t xml:space="preserve">{…} dihapus dari daftar siswa.</t>
  </si>
  <si>
    <t xml:space="preserve">Data Kosong</t>
  </si>
  <si>
    <t xml:space="preserve">File kosong</t>
  </si>
  <si>
    <t xml:space="preserve">File tidak memiliki baris siswa yang dapat diimpor.</t>
  </si>
  <si>
    <t xml:space="preserve">Tidak ada baris siswa di file ini.</t>
  </si>
  <si>
    <t xml:space="preserve">Tidak Ada Data Valid</t>
  </si>
  <si>
    <t xml:space="preserve">Data belum terbaca</t>
  </si>
  <si>
    <t xml:space="preserve">Pastikan kolom Nama Lengkap terisi sesuai template.</t>
  </si>
  <si>
    <t xml:space="preserve">Pastikan kolom Nama Lengkap terisi, sesuai templat Excel dari Sigrak.</t>
  </si>
  <si>
    <t xml:space="preserve">File Belum Aman Diimpor</t>
  </si>
  <si>
    <t xml:space="preserve">File belum bisa diimpor</t>
  </si>
  <si>
    <t xml:space="preserve">Timpa Daftar Siswa?</t>
  </si>
  <si>
    <t xml:space="preserve">Ganti seluruh daftar siswa?</t>
  </si>
  <si>
    <t xml:space="preserve">Timpa → Ganti</t>
  </si>
  <si>
    <t xml:space="preserve">Cadangan Gagal Dibuat</t>
  </si>
  <si>
    <t xml:space="preserve">Cadangan belum berhasil dibuat</t>
  </si>
  <si>
    <t xml:space="preserve">Impor dibatalkan demi keamanan: {…}</t>
  </si>
  <si>
    <t xml:space="preserve">Impor dibatalkan agar data lama tetap aman. ({…})</t>
  </si>
  <si>
    <t xml:space="preserve">Memperbarui Data Siswa...</t>
  </si>
  <si>
    <t xml:space="preserve">Memperbarui data siswa…</t>
  </si>
  <si>
    <t xml:space="preserve">Mohon jangan menutup halaman.</t>
  </si>
  <si>
    <t xml:space="preserve">Jangan tutup halaman ini.</t>
  </si>
  <si>
    <t xml:space="preserve">Impor Dibatalkan</t>
  </si>
  <si>
    <t xml:space="preserve">Impor dibatalkan</t>
  </si>
  <si>
    <t xml:space="preserve">Data lama dipulihkan karena sinkronisasi gagal: {…}</t>
  </si>
  <si>
    <t xml:space="preserve">Data lama dipulihkan karena data baru belum tersimpan ke server. ({…})</t>
  </si>
  <si>
    <t xml:space="preserve">Data Siswa Berhasil Ditimpa</t>
  </si>
  <si>
    <t xml:space="preserve">Daftar siswa diperbarui</t>
  </si>
  <si>
    <t xml:space="preserve">Gagal Membaca File</t>
  </si>
  <si>
    <t xml:space="preserve">File belum terbaca</t>
  </si>
  <si>
    <t xml:space="preserve">File Tidak Dapat Dibaca</t>
  </si>
  <si>
    <t xml:space="preserve">File belum bisa dibaca</t>
  </si>
  <si>
    <t xml:space="preserve">Edit Mapel</t>
  </si>
  <si>
    <t xml:space="preserve">Ubah mata pelajaran</t>
  </si>
  <si>
    <t xml:space="preserve">Mata Pelajaran Tidak Ditemukan</t>
  </si>
  <si>
    <t xml:space="preserve">Mata pelajaran tidak ditemukan</t>
  </si>
  <si>
    <t xml:space="preserve">Ya, Hapus Mapel</t>
  </si>
  <si>
    <t xml:space="preserve">Hapus mata pelajaran</t>
  </si>
  <si>
    <t xml:space="preserve">Sinkronisasi Cloud gagal. Daftar mata pelajaran telah dikembalikan.</t>
  </si>
  <si>
    <t xml:space="preserve">Daftar mata pelajaran belum tersimpan ke server, jadi dikembalikan seperti semula.</t>
  </si>
  <si>
    <t xml:space="preserve">Format Jam Tidak Valid</t>
  </si>
  <si>
    <t xml:space="preserve">Format jam belum benar</t>
  </si>
  <si>
    <t xml:space="preserve">Gunakan format 24 jam HH:MM, misalnya 07:00 atau 13:30.</t>
  </si>
  <si>
    <t xml:space="preserve">Tulis jam dengan format 24 jam, misalnya 07.00 atau 13.30.</t>
  </si>
  <si>
    <t xml:space="preserve">Pemisah titik sesuai PUEBI</t>
  </si>
  <si>
    <t xml:space="preserve">Lengkapi Durasi 1 JP</t>
  </si>
  <si>
    <t xml:space="preserve">Isi durasi 1 JP</t>
  </si>
  <si>
    <t xml:space="preserve">Pengaturan Waktu Tersimpan</t>
  </si>
  <si>
    <t xml:space="preserve">Pengaturan waktu disimpan</t>
  </si>
  <si>
    <t xml:space="preserve">Waktu Belum Terhitung</t>
  </si>
  <si>
    <t xml:space="preserve">Jam belum bisa dihitung</t>
  </si>
  <si>
    <t xml:space="preserve">Buka tombol Pengaturan Waktu, lengkapi Jam Masuk dan Durasi 1 JP, lalu pilih Hari dan Mata Pelajaran.</t>
  </si>
  <si>
    <t xml:space="preserve">Buka Pengaturan Waktu, isi jam masuk dan durasi 1 JP, lalu pilih hari dan mata pelajaran.</t>
  </si>
  <si>
    <t xml:space="preserve">Jadwal Tidak Ditemukan</t>
  </si>
  <si>
    <t xml:space="preserve">Jadwal tidak ditemukan</t>
  </si>
  <si>
    <t xml:space="preserve">Entri yang Anda edit sudah tidak ada. Silakan muat ulang daftar jadwal.</t>
  </si>
  <si>
    <t xml:space="preserve">Jadwal yang Anda ubah sudah tidak ada. Muat ulang daftar jadwal.</t>
  </si>
  <si>
    <t xml:space="preserve">Hapus Jadwal Pelajaran?</t>
  </si>
  <si>
    <t xml:space="preserve">Hapus jadwal pelajaran ini?</t>
  </si>
  <si>
    <t xml:space="preserve">Ya, Hapus Jadwal</t>
  </si>
  <si>
    <t xml:space="preserve">Hapus jadwal</t>
  </si>
  <si>
    <t xml:space="preserve">Sinkronisasi Cloud gagal. Jadwal telah dikembalikan.</t>
  </si>
  <si>
    <t xml:space="preserve">Jadwal belum tersimpan ke server, jadi dikembalikan seperti semula.</t>
  </si>
  <si>
    <t xml:space="preserve">Jadwal Dihapus</t>
  </si>
  <si>
    <t xml:space="preserve">Jadwal dihapus</t>
  </si>
  <si>
    <t xml:space="preserve">Tersimpan</t>
  </si>
  <si>
    <t xml:space="preserve">Pilih Tanggal</t>
  </si>
  <si>
    <t xml:space="preserve">Pilih tanggal</t>
  </si>
  <si>
    <t xml:space="preserve">Pilih tanggal presensi terlebih dahulu.</t>
  </si>
  <si>
    <t xml:space="preserve">Pilih tanggal absensi.</t>
  </si>
  <si>
    <t xml:space="preserve">Mapel yang Anda ampu belum terdaftar. Isi "Mapel yang Diampu" di Pengaturan Portal Guru.</t>
  </si>
  <si>
    <t xml:space="preserve">Mata pelajaran yang Anda ajar belum diisi. Lengkapi di Akun &gt; Profil.</t>
  </si>
  <si>
    <t xml:space="preserve">Mapel Tidak Terjadwal</t>
  </si>
  <si>
    <t xml:space="preserve">Tidak ada jadwal pelajaran ini hari itu</t>
  </si>
  <si>
    <t xml:space="preserve">Tetap Simpan</t>
  </si>
  <si>
    <t xml:space="preserve">Tetap simpan</t>
  </si>
  <si>
    <t xml:space="preserve">Pilih tanggal presensi yang datanya ingin dihapus.</t>
  </si>
  <si>
    <t xml:space="preserve">Pilih tanggal absensi yang ingin dihapus.</t>
  </si>
  <si>
    <t xml:space="preserve">Tidak Ada Data</t>
  </si>
  <si>
    <t xml:space="preserve">Belum ada data</t>
  </si>
  <si>
    <t xml:space="preserve">Hapus Data Kehadiran?</t>
  </si>
  <si>
    <t xml:space="preserve">Hapus absensi tanggal ini?</t>
  </si>
  <si>
    <t xml:space="preserve">Terhapus</t>
  </si>
  <si>
    <t xml:space="preserve">Dihapus</t>
  </si>
  <si>
    <t xml:space="preserve">Data kehadiran tanggal ini sudah dihapus.</t>
  </si>
  <si>
    <t xml:space="preserve">Absensi tanggal ini dihapus.</t>
  </si>
  <si>
    <t xml:space="preserve">Pilih jenis keuangan yang ingin dihapus terlebih dahulu.</t>
  </si>
  <si>
    <t xml:space="preserve">Pilih jenis keuangan yang ingin dihapus.</t>
  </si>
  <si>
    <t xml:space="preserve">Hapus Jenis Keuangan?</t>
  </si>
  <si>
    <t xml:space="preserve">Hapus jenis keuangan ini?</t>
  </si>
  <si>
    <t xml:space="preserve">Jenis Keuangan Dihapus</t>
  </si>
  <si>
    <t xml:space="preserve">Jenis keuangan dihapus</t>
  </si>
  <si>
    <t xml:space="preserve">Penghapusan Gagal</t>
  </si>
  <si>
    <t xml:space="preserve">Data dikembalikan seperti semula karena Cloud belum dapat disinkronkan: {…}</t>
  </si>
  <si>
    <t xml:space="preserve">Data dikembalikan seperti semula karena belum tersimpan ke server. ({…})</t>
  </si>
  <si>
    <t xml:space="preserve">Tambah Jenis Keuangan</t>
  </si>
  <si>
    <t xml:space="preserve">Tambah jenis keuangan</t>
  </si>
  <si>
    <t xml:space="preserve">Transaksi Tidak Ditemukan</t>
  </si>
  <si>
    <t xml:space="preserve">Transaksi tidak ditemukan</t>
  </si>
  <si>
    <t xml:space="preserve">Edit Pembayaran</t>
  </si>
  <si>
    <t xml:space="preserve">Ubah pembayaran</t>
  </si>
  <si>
    <t xml:space="preserve">Perubahan Tersimpan</t>
  </si>
  <si>
    <t xml:space="preserve">Perubahan disimpan</t>
  </si>
  <si>
    <t xml:space="preserve">Hapus Pembayaran?</t>
  </si>
  <si>
    <t xml:space="preserve">Hapus pembayaran ini?</t>
  </si>
  <si>
    <t xml:space="preserve">Pembayaran Dihapus</t>
  </si>
  <si>
    <t xml:space="preserve">Pembayaran dihapus</t>
  </si>
  <si>
    <t xml:space="preserve">Lengkapi Tanggal dan Siswa</t>
  </si>
  <si>
    <t xml:space="preserve">Isi tanggal dan pilih siswa</t>
  </si>
  <si>
    <t xml:space="preserve">Nominal Harus Lebih dari Nol</t>
  </si>
  <si>
    <t xml:space="preserve">Nominal harus lebih dari Rp0</t>
  </si>
  <si>
    <t xml:space="preserve">Berhasil</t>
  </si>
  <si>
    <t xml:space="preserve">Hindari judul umum "Berhasil"; sebut apa yang berhasil</t>
  </si>
  <si>
    <t xml:space="preserve">Hapus Transaksi Tabungan?</t>
  </si>
  <si>
    <t xml:space="preserve">Hapus transaksi tabungan ini?</t>
  </si>
  <si>
    <t xml:space="preserve">Sinkronisasi Cloud gagal. Transaksi dan saldo telah dikembalikan.</t>
  </si>
  <si>
    <t xml:space="preserve">Transaksi belum tersimpan ke server, jadi transaksi dan saldo dikembalikan seperti semula.</t>
  </si>
  <si>
    <t xml:space="preserve">Transaksi Tabungan Dihapus</t>
  </si>
  <si>
    <t xml:space="preserve">Transaksi tabungan dihapus</t>
  </si>
  <si>
    <t xml:space="preserve">{…} jurnal kembar dibersihkan</t>
  </si>
  <si>
    <t xml:space="preserve">{…} jurnal dobel dirapikan</t>
  </si>
  <si>
    <t xml:space="preserve">Tidak Ada yang Perlu Disusun</t>
  </si>
  <si>
    <t xml:space="preserve">Tidak ada refleksi yang perlu disusun</t>
  </si>
  <si>
    <t xml:space="preserve">Susun {…} refleksi?</t>
  </si>
  <si>
    <t xml:space="preserve">Ya, Susun</t>
  </si>
  <si>
    <t xml:space="preserve">Menyusun refleksi {…}</t>
  </si>
  <si>
    <t xml:space="preserve">Menyusun refleksi {…}…</t>
  </si>
  <si>
    <t xml:space="preserve">{…} selesai</t>
  </si>
  <si>
    <t xml:space="preserve">Lanjutkan ke {…}</t>
  </si>
  <si>
    <t xml:space="preserve">Lanjut ke {…}</t>
  </si>
  <si>
    <t xml:space="preserve">Berhenti</t>
  </si>
  <si>
    <t xml:space="preserve">Materi Belum Diisi</t>
  </si>
  <si>
    <t xml:space="preserve">Materi belum diisi</t>
  </si>
  <si>
    <t xml:space="preserve">Refleksi hanya bisa disusun bila materi jurnal sudah terisi.</t>
  </si>
  <si>
    <t xml:space="preserve">Refleksi bisa disusun setelah materi di jurnal terisi.</t>
  </si>
  <si>
    <t xml:space="preserve">Konfirmasi {…} refleksi?</t>
  </si>
  <si>
    <t xml:space="preserve">Refleksi yang sudah tersusun pada hari ini ditandai terkonfirmasi.</t>
  </si>
  <si>
    <t xml:space="preserve">Refleksi hari ini yang sudah tersusun akan ditandai terkonfirmasi.</t>
  </si>
  <si>
    <t xml:space="preserve">Ya, Konfirmasi</t>
  </si>
  <si>
    <t xml:space="preserve">Edit Refleksi</t>
  </si>
  <si>
    <t xml:space="preserve">Ubah refleksi</t>
  </si>
  <si>
    <t xml:space="preserve">Simpan &amp; Konfirmasi</t>
  </si>
  <si>
    <t xml:space="preserve">Simpan dan konfirmasi</t>
  </si>
  <si>
    <t xml:space="preserve">"&amp;" diganti "dan"</t>
  </si>
  <si>
    <t xml:space="preserve">Tidak Ada yang Perlu Dikonfirmasi</t>
  </si>
  <si>
    <t xml:space="preserve">Tidak ada yang perlu dikonfirmasi</t>
  </si>
  <si>
    <t xml:space="preserve">Semua refleksi yang sudah tersusun {…} sudah dikonfirmasi.</t>
  </si>
  <si>
    <t xml:space="preserve">Semua refleksi {…} sudah dikonfirmasi.</t>
  </si>
  <si>
    <t xml:space="preserve">Semua refleksi yang sudah tersusun {…} dan belum dikonfirmasi akan ditandai terkonfirmasi. Refleksi yang belum tersusun tidak terpengaruh.</t>
  </si>
  <si>
    <t xml:space="preserve">Semua refleksi {…} yang sudah tersusun akan ditandai terkonfirmasi. Refleksi yang belum tersusun tidak berubah.</t>
  </si>
  <si>
    <t xml:space="preserve">{…} Refleksi Dikonfirmasi</t>
  </si>
  <si>
    <t xml:space="preserve">{…} refleksi dikonfirmasi</t>
  </si>
  <si>
    <t xml:space="preserve">Menyimpan jurnal…</t>
  </si>
  <si>
    <t xml:space="preserve">Mengambil rangkuman Modul/RPM.</t>
  </si>
  <si>
    <t xml:space="preserve">Mengambil ringkasan RPM…</t>
  </si>
  <si>
    <t xml:space="preserve">Materi Belum Tersedia</t>
  </si>
  <si>
    <t xml:space="preserve">Materi belum ada</t>
  </si>
  <si>
    <t xml:space="preserve">Jurnal hanya bisa ditandai terlaksana bila materinya sudah terisi. Buat Modul/RPM untuk tanggal ini, atau isi materi lewat tombol Isi detail jurnal.</t>
  </si>
  <si>
    <t xml:space="preserve">Jurnal bisa ditandai terlaksana setelah materinya terisi. Buat RPM untuk tanggal ini, atau isi materi lewat Isi detail jurnal.</t>
  </si>
  <si>
    <t xml:space="preserve">Gagal Menyimpan Jurnal</t>
  </si>
  <si>
    <t xml:space="preserve">Jurnal belum tersimpan</t>
  </si>
  <si>
    <t xml:space="preserve">Pembelajaran Tidak Terlaksana</t>
  </si>
  <si>
    <t xml:space="preserve">Pelajaran tidak terlaksana</t>
  </si>
  <si>
    <t xml:space="preserve">Alasan / keterangan</t>
  </si>
  <si>
    <t xml:space="preserve">Alasan</t>
  </si>
  <si>
    <t xml:space="preserve">Contoh: rapat dinas, kegiatan insidental, guru berhalangan</t>
  </si>
  <si>
    <t xml:space="preserve">Contoh: rapat dinas, kegiatan mendadak, guru berhalangan</t>
  </si>
  <si>
    <t xml:space="preserve">Simpan &amp; Geser RPM</t>
  </si>
  <si>
    <t xml:space="preserve">Simpan dan geser RPM</t>
  </si>
  <si>
    <t xml:space="preserve">Tanggal Belum Berlangsung</t>
  </si>
  <si>
    <t xml:space="preserve">Tanggal belum tiba</t>
  </si>
  <si>
    <t xml:space="preserve">Pembelajaran pada tanggal yang belum terjadi tidak bisa ditandai terlaksana.</t>
  </si>
  <si>
    <t xml:space="preserve">Pelajaran di tanggal yang belum tiba belum bisa ditandai terlaksana.</t>
  </si>
  <si>
    <t xml:space="preserve">Semua Sudah Terisi</t>
  </si>
  <si>
    <t xml:space="preserve">Semua sudah terisi</t>
  </si>
  <si>
    <t xml:space="preserve">Semua kegiatan pada tanggal ini sudah memiliki jurnal.</t>
  </si>
  <si>
    <t xml:space="preserve">Semua kegiatan di tanggal ini sudah punya jurnal.</t>
  </si>
  <si>
    <t xml:space="preserve">Tandai {…} kegiatan terlaksana?</t>
  </si>
  <si>
    <t xml:space="preserve">Ya, Terlaksana Semua</t>
  </si>
  <si>
    <t xml:space="preserve">Tandai semua terlaksana</t>
  </si>
  <si>
    <t xml:space="preserve">Menyimpan jurnal...</t>
  </si>
  <si>
    <t xml:space="preserve">{…} kegiatan dilewati karena materinya belum terisi (belum ada Modul/RPM). Isi materi lewat Isi detail jurnal.</t>
  </si>
  <si>
    <t xml:space="preserve">{…} kegiatan dilewati karena belum ada RPM. Isi materinya lewat Isi detail jurnal.</t>
  </si>
  <si>
    <t xml:space="preserve">{…} Kegiatan Terlaksana</t>
  </si>
  <si>
    <t xml:space="preserve">{…} kegiatan terlaksana</t>
  </si>
  <si>
    <t xml:space="preserve">{…} Cek tabel jurnal; kegiatan yang belum tersimpan bisa diulang.</t>
  </si>
  <si>
    <t xml:space="preserve">{…} Periksa tabel jurnal; kegiatan yang belum tersimpan bisa diulang.</t>
  </si>
  <si>
    <t xml:space="preserve">Semua kegiatan terjadwal {…} sudah memiliki jurnal.</t>
  </si>
  <si>
    <t xml:space="preserve">Semua kegiatan terjadwal {…} sudah punya jurnal.</t>
  </si>
  <si>
    <t xml:space="preserve">Tandai Terlaksana</t>
  </si>
  <si>
    <t xml:space="preserve">Tandai terlaksana</t>
  </si>
  <si>
    <t xml:space="preserve">Kegiatan Sekolah · {…}</t>
  </si>
  <si>
    <t xml:space="preserve">Kegiatan sekolah · {…}</t>
  </si>
  <si>
    <t xml:space="preserve">Simpan &amp; Sesuaikan RPM</t>
  </si>
  <si>
    <t xml:space="preserve">Simpan dan sesuaikan RPM</t>
  </si>
  <si>
    <t xml:space="preserve">Kegiatan Sekolah Disimpan</t>
  </si>
  <si>
    <t xml:space="preserve">Kegiatan sekolah disimpan</t>
  </si>
  <si>
    <t xml:space="preserve">Jurnal tanggal tersebut diperbarui dan semua RPM terdampak telah disesuaikan ke slot JP berikutnya.</t>
  </si>
  <si>
    <t xml:space="preserve">Jurnal tanggal itu diperbarui, dan RPM yang terdampak sudah digeser ke jam pelajaran berikutnya.</t>
  </si>
  <si>
    <t xml:space="preserve">Hapus {…} tanggal?</t>
  </si>
  <si>
    <t xml:space="preserve">Hapus tanda di {…} tanggal?</t>
  </si>
  <si>
    <t xml:space="preserve">Tanda libur/kegiatan pada tanggal-tanggal ini dihapus dan RPM disesuaikan kembali.</t>
  </si>
  <si>
    <t xml:space="preserve">Tanda libur atau kegiatan di tanggal-tanggal ini dihapus, dan RPM disesuaikan lagi.</t>
  </si>
  <si>
    <t xml:space="preserve">Ubah tanggal</t>
  </si>
  <si>
    <t xml:space="preserve">Jurnal Sudah Ada</t>
  </si>
  <si>
    <t xml:space="preserve">Jurnal sudah ada</t>
  </si>
  <si>
    <t xml:space="preserve">{…} pada sesi tersebut sudah memiliki jurnal. Silakan edit jurnal yang sudah ada.</t>
  </si>
  <si>
    <t xml:space="preserve">{…} di jam ini sudah punya jurnal. Buka jurnal tersebut untuk mengubahnya.</t>
  </si>
  <si>
    <t xml:space="preserve">Buka Jurnal</t>
  </si>
  <si>
    <t xml:space="preserve">Buka jurnal</t>
  </si>
  <si>
    <t xml:space="preserve">Hapus jurnal?</t>
  </si>
  <si>
    <t xml:space="preserve">Hapus jurnal ini?</t>
  </si>
  <si>
    <t xml:space="preserve">Data jurnal yang dihapus tidak dapat dipulihkan.</t>
  </si>
  <si>
    <t xml:space="preserve">Jurnal yang dihapus tidak bisa dikembalikan.</t>
  </si>
  <si>
    <t xml:space="preserve">Belum Ada Jurnal</t>
  </si>
  <si>
    <t xml:space="preserve">Belum ada jurnal</t>
  </si>
  <si>
    <t xml:space="preserve">Tidak ada jurnal tersimpan pada tanggal ini.</t>
  </si>
  <si>
    <t xml:space="preserve">Belum ada jurnal di tanggal ini.</t>
  </si>
  <si>
    <t xml:space="preserve">Hapus jurnal hari ini?</t>
  </si>
  <si>
    <t xml:space="preserve">Hapus semua jurnal hari ini?</t>
  </si>
  <si>
    <t xml:space="preserve">Hapus Semua</t>
  </si>
  <si>
    <t xml:space="preserve">Hapus semua</t>
  </si>
  <si>
    <t xml:space="preserve">Download Jurnal Gagal</t>
  </si>
  <si>
    <t xml:space="preserve">Jurnal belum berhasil diunduh</t>
  </si>
  <si>
    <t xml:space="preserve">Format jurnal harian belum dapat dibuat. Silakan coba kembali.</t>
  </si>
  <si>
    <t xml:space="preserve">Jurnal harian belum bisa disiapkan. Coba lagi.</t>
  </si>
  <si>
    <t xml:space="preserve">Hapus catatan?</t>
  </si>
  <si>
    <t xml:space="preserve">Hapus catatan ini?</t>
  </si>
  <si>
    <t xml:space="preserve">Catatan yang dihapus tidak dapat dipulihkan.</t>
  </si>
  <si>
    <t xml:space="preserve">Catatan yang dihapus tidak bisa dikembalikan.</t>
  </si>
  <si>
    <t xml:space="preserve">Belum Dapat Menyimpan</t>
  </si>
  <si>
    <t xml:space="preserve">Belum bisa disimpan</t>
  </si>
  <si>
    <t xml:space="preserve">Buku catatan belum terbaca dari Cloud. Muat ulang halaman agar data lama tidak tertimpa.</t>
  </si>
  <si>
    <t xml:space="preserve">Buku catatan belum termuat. Muat ulang halaman agar catatan lama tidak tertimpa.</t>
  </si>
  <si>
    <t xml:space="preserve">Tidak Dapat Mengubah</t>
  </si>
  <si>
    <t xml:space="preserve">Tidak bisa diubah</t>
  </si>
  <si>
    <t xml:space="preserve">Hanya penulis notulen dan Kepala Sekolah yang dapat mengubah notulen ini.</t>
  </si>
  <si>
    <t xml:space="preserve">Notulen ini hanya bisa diubah oleh penulisnya dan kepala sekolah.</t>
  </si>
  <si>
    <t xml:space="preserve">Notulen belum tersimpan ke Cloud. Periksa koneksi lalu coba lagi.</t>
  </si>
  <si>
    <t xml:space="preserve">Notulen belum tersimpan ke server. Periksa koneksi, lalu coba lagi.</t>
  </si>
  <si>
    <t xml:space="preserve">Notulen belum terhapus dari Cloud.</t>
  </si>
  <si>
    <t xml:space="preserve">Notulen belum berhasil dihapus. Periksa koneksi, lalu coba lagi.</t>
  </si>
  <si>
    <t xml:space="preserve">Notulen Rapat</t>
  </si>
  <si>
    <t xml:space="preserve">Notulen rapat</t>
  </si>
  <si>
    <t xml:space="preserve">Bagikan ke sekolah?</t>
  </si>
  <si>
    <t xml:space="preserve">Bagikan ke semua guru?</t>
  </si>
  <si>
    <t xml:space="preserve">Notulen ini akan tampil di buku notulen seluruh guru di sekolah Anda.</t>
  </si>
  <si>
    <t xml:space="preserve">Notulen ini akan tampil di buku notulen semua guru di sekolah Anda.</t>
  </si>
  <si>
    <t xml:space="preserve">Bagikan</t>
  </si>
  <si>
    <t xml:space="preserve">Gagal Membagikan</t>
  </si>
  <si>
    <t xml:space="preserve">Belum berhasil dibagikan</t>
  </si>
  <si>
    <t xml:space="preserve">Periksa koneksi lalu coba lagi.</t>
  </si>
  <si>
    <t xml:space="preserve">Periksa koneksi, lalu coba lagi.</t>
  </si>
  <si>
    <t xml:space="preserve">Pilih Nama Barang</t>
  </si>
  <si>
    <t xml:space="preserve">Pilih nama barang</t>
  </si>
  <si>
    <t xml:space="preserve">Pilih salah satu barang dari dropdown.</t>
  </si>
  <si>
    <t xml:space="preserve">Pilih salah satu barang dari daftar.</t>
  </si>
  <si>
    <t xml:space="preserve">Nama Barang Wajib Diisi</t>
  </si>
  <si>
    <t xml:space="preserve">Isi nama barang</t>
  </si>
  <si>
    <t xml:space="preserve">Tuliskan nama barang lainnya.</t>
  </si>
  <si>
    <t xml:space="preserve">Tulis nama barang yang tidak ada di daftar.</t>
  </si>
  <si>
    <t xml:space="preserve">Hapus barang?</t>
  </si>
  <si>
    <t xml:space="preserve">Hapus barang ini?</t>
  </si>
  <si>
    <t xml:space="preserve">Data inventaris yang dihapus tidak dapat dipulihkan.</t>
  </si>
  <si>
    <t xml:space="preserve">Barang yang dihapus tidak bisa dikembalikan.</t>
  </si>
  <si>
    <t xml:space="preserve">Sudah Ditetapkan</t>
  </si>
  <si>
    <t xml:space="preserve">Sudah ditetapkan</t>
  </si>
  <si>
    <t xml:space="preserve">Kenaikan kelas sudah ditetapkan dan tidak dapat diubah.</t>
  </si>
  <si>
    <t xml:space="preserve">Kenaikan kelas sudah ditetapkan dan tidak bisa diubah lagi.</t>
  </si>
  <si>
    <t xml:space="preserve">Draf Tersimpan</t>
  </si>
  <si>
    <t xml:space="preserve">Draf disimpan</t>
  </si>
  <si>
    <t xml:space="preserve">Khusus Wali Kelas</t>
  </si>
  <si>
    <t xml:space="preserve">Khusus wali kelas</t>
  </si>
  <si>
    <t xml:space="preserve">Kenaikan kelas ditetapkan oleh wali kelas.</t>
  </si>
  <si>
    <t xml:space="preserve">Tahun Ajaran Belum Valid</t>
  </si>
  <si>
    <t xml:space="preserve">Tahun ajaran belum benar</t>
  </si>
  <si>
    <t xml:space="preserve">Isi Tahun Ajaran di Profil dengan format 2026/2027 sebelum menetapkan kenaikan.</t>
  </si>
  <si>
    <t xml:space="preserve">Isi tahun ajaran di Akun &gt; Profil dengan format 2026/2027, lalu tetapkan kenaikan.</t>
  </si>
  <si>
    <t xml:space="preserve">Belum Ada Siswa Aktif</t>
  </si>
  <si>
    <t xml:space="preserve">Belum Lengkap</t>
  </si>
  <si>
    <t xml:space="preserve">Belum lengkap</t>
  </si>
  <si>
    <t xml:space="preserve">Masih ada {…} siswa yang belum ditentukan statusnya.</t>
  </si>
  <si>
    <t xml:space="preserve">Masih ada {…} siswa yang belum diberi status.</t>
  </si>
  <si>
    <t xml:space="preserve">Tetapkan Kenaikan {…}?</t>
  </si>
  <si>
    <t xml:space="preserve">Tetapkan kenaikan {…}?</t>
  </si>
  <si>
    <t xml:space="preserve">Ya, Tetapkan</t>
  </si>
  <si>
    <t xml:space="preserve">Tetapkan</t>
  </si>
  <si>
    <t xml:space="preserve">Periksa Lagi</t>
  </si>
  <si>
    <t xml:space="preserve">Periksa lagi</t>
  </si>
  <si>
    <t xml:space="preserve">Kenaikan Kelas Ditetapkan</t>
  </si>
  <si>
    <t xml:space="preserve">Kenaikan kelas ditetapkan</t>
  </si>
  <si>
    <t xml:space="preserve">Mode demo: data tidak dikirim ke Cloud.</t>
  </si>
  <si>
    <t xml:space="preserve">Mode Contoh: data tidak dikirim ke server.</t>
  </si>
  <si>
    <t xml:space="preserve">Menetapkan kenaikan kelas...</t>
  </si>
  <si>
    <t xml:space="preserve">Menetapkan kenaikan kelas…</t>
  </si>
  <si>
    <t xml:space="preserve">Penetapan Gagal</t>
  </si>
  <si>
    <t xml:space="preserve">Belum berhasil ditetapkan</t>
  </si>
  <si>
    <t xml:space="preserve">Sesi Tidak Sah</t>
  </si>
  <si>
    <t xml:space="preserve">Sesi berakhir</t>
  </si>
  <si>
    <t xml:space="preserve">"Tidak sah" terdengar menuduh</t>
  </si>
  <si>
    <t xml:space="preserve">Lewati panduan awal?</t>
  </si>
  <si>
    <t xml:space="preserve">Lewati</t>
  </si>
  <si>
    <t xml:space="preserve">Memuat kalender guru…</t>
  </si>
  <si>
    <t xml:space="preserve">Memuat kalender…</t>
  </si>
  <si>
    <t xml:space="preserve">Daftar Belum Bisa Dimuat</t>
  </si>
  <si>
    <t xml:space="preserve">Daftar belum termuat</t>
  </si>
  <si>
    <t xml:space="preserve">Pilih rujukan kalender</t>
  </si>
  <si>
    <t xml:space="preserve">Pilih kalender acuan</t>
  </si>
  <si>
    <t xml:space="preserve">Tambahkan ke kalender sekolah?</t>
  </si>
  <si>
    <t xml:space="preserve">Tindakan Gagal</t>
  </si>
  <si>
    <t xml:space="preserve">Portal Kepala Sekolah</t>
  </si>
  <si>
    <t xml:space="preserve">Memeriksa akses Kepala Sekolah</t>
  </si>
  <si>
    <t xml:space="preserve">Memeriksa akun kepala sekolah…</t>
  </si>
  <si>
    <t xml:space="preserve">AKTIVASI KEPALA SEKOLAH</t>
  </si>
  <si>
    <t xml:space="preserve">Langkah awal kepala sekolah</t>
  </si>
  <si>
    <t xml:space="preserve">Profil Kepala Sekolah</t>
  </si>
  <si>
    <t xml:space="preserve">Profil kepala sekolah</t>
  </si>
  <si>
    <t xml:space="preserve">Periksa identitas sekolah bersama, lengkapi data kepala sekolah, lalu simpan satu kali untuk masuk ke dashboard.</t>
  </si>
  <si>
    <t xml:space="preserve">Periksa data sekolah, lengkapi data Anda, lalu simpan.</t>
  </si>
  <si>
    <t xml:space="preserve">TAHAP AKTIVASI</t>
  </si>
  <si>
    <t xml:space="preserve">Langkah</t>
  </si>
  <si>
    <t xml:space="preserve">Profil &amp; Identitas Sekolah</t>
  </si>
  <si>
    <t xml:space="preserve">Profil dan data sekolah</t>
  </si>
  <si>
    <t xml:space="preserve">Identitas Sekolah</t>
  </si>
  <si>
    <t xml:space="preserve">Data sekolah</t>
  </si>
  <si>
    <t xml:space="preserve">Data sekolah bersama yang digunakan seluruh guru dalam instansi.</t>
  </si>
  <si>
    <t xml:space="preserve">Dipakai di kop dokumen semua guru.</t>
  </si>
  <si>
    <t xml:space="preserve">Status Sekolah</t>
  </si>
  <si>
    <t xml:space="preserve">Status sekolah</t>
  </si>
  <si>
    <t xml:space="preserve">Pilih status</t>
  </si>
  <si>
    <t xml:space="preserve">Negeri / Swasta</t>
  </si>
  <si>
    <t xml:space="preserve">Kredensial &amp; Kepala Sekolah</t>
  </si>
  <si>
    <t xml:space="preserve">Kepala sekolah</t>
  </si>
  <si>
    <t xml:space="preserve">Data pimpinan, periode akademik, dan logo resmi sekolah.</t>
  </si>
  <si>
    <t xml:space="preserve">Data Anda, tahun ajaran, dan logo.</t>
  </si>
  <si>
    <t xml:space="preserve">Nama Lengkap dan Gelar</t>
  </si>
  <si>
    <t xml:space="preserve">NIP</t>
  </si>
  <si>
    <t xml:space="preserve">NUPTK</t>
  </si>
  <si>
    <t xml:space="preserve">Logo Sekolah</t>
  </si>
  <si>
    <t xml:space="preserve">Logo sekolah</t>
  </si>
  <si>
    <t xml:space="preserve">Pilih / Ganti Logo Dinas</t>
  </si>
  <si>
    <t xml:space="preserve">Pilih logo dinas</t>
  </si>
  <si>
    <t xml:space="preserve">Pilih / Ganti Logo Sekolah</t>
  </si>
  <si>
    <t xml:space="preserve">Pilih logo sekolah</t>
  </si>
  <si>
    <t xml:space="preserve">Data sekolah digunakan bersama</t>
  </si>
  <si>
    <t xml:space="preserve">Data ini dipakai semua guru</t>
  </si>
  <si>
    <t xml:space="preserve">Data dari guru langsung ditampilkan dan dapat dikoreksi. Setelah disimpan, data berlaku untuk seluruh pengguna di instansi.</t>
  </si>
  <si>
    <t xml:space="preserve">Periksa data yang diisi guru. Setelah disimpan, berlaku untuk semua guru di sekolah.</t>
  </si>
  <si>
    <t xml:space="preserve">Simpan Profil &amp; Masuk Dashboard</t>
  </si>
  <si>
    <t xml:space="preserve">KEPALA SEKOLAH · Sekolah</t>
  </si>
  <si>
    <t xml:space="preserve">Kepala sekolah · {nama sekolah}</t>
  </si>
  <si>
    <t xml:space="preserve">Selamat Datang, Kepala Sekolah.</t>
  </si>
  <si>
    <t xml:space="preserve">Selamat pagi, {nama}.</t>
  </si>
  <si>
    <t xml:space="preserve">Sapaan mengikuti jam</t>
  </si>
  <si>
    <t xml:space="preserve">Memuat ringkasan sekolah…</t>
  </si>
  <si>
    <t xml:space="preserve">Memuat ringkasan…</t>
  </si>
  <si>
    <t xml:space="preserve">RINGKASAN SEKOLAH</t>
  </si>
  <si>
    <t xml:space="preserve">Ringkasan</t>
  </si>
  <si>
    <t xml:space="preserve">Informasi aktual dari Portal Guru dan data Kepala Sekolah.</t>
  </si>
  <si>
    <t xml:space="preserve">Diperbarui dari data guru hari ini.</t>
  </si>
  <si>
    <t xml:space="preserve">AGENDA &amp; JADWAL</t>
  </si>
  <si>
    <t xml:space="preserve">Agenda</t>
  </si>
  <si>
    <t xml:space="preserve">Agenda hari ini &amp; terdekat</t>
  </si>
  <si>
    <t xml:space="preserve">Agenda hari ini dan berikutnya</t>
  </si>
  <si>
    <t xml:space="preserve">TINDAK LANJUT</t>
  </si>
  <si>
    <t xml:space="preserve">Perlu ditindaklanjuti</t>
  </si>
  <si>
    <t xml:space="preserve">Notifikasi &amp; prioritas</t>
  </si>
  <si>
    <t xml:space="preserve">Yang perlu Anda periksa</t>
  </si>
  <si>
    <t xml:space="preserve">PROGRES ADMINISTRASI</t>
  </si>
  <si>
    <t xml:space="preserve">Kelengkapan administrasi</t>
  </si>
  <si>
    <t xml:space="preserve">Menghitung kepatuhan…</t>
  </si>
  <si>
    <t xml:space="preserve">Menghitung kelengkapan…</t>
  </si>
  <si>
    <t xml:space="preserve">"Kepatuhan" terdengar mengawasi</t>
  </si>
  <si>
    <t xml:space="preserve">TARGET KEWAJIBAN</t>
  </si>
  <si>
    <t xml:space="preserve">Target</t>
  </si>
  <si>
    <t xml:space="preserve">Menghitung target…</t>
  </si>
  <si>
    <t xml:space="preserve">SUDAH TERSEDIA</t>
  </si>
  <si>
    <t xml:space="preserve">Menghitung capaian…</t>
  </si>
  <si>
    <t xml:space="preserve">Menghitung…</t>
  </si>
  <si>
    <t xml:space="preserve">BELUM DILENGKAPI</t>
  </si>
  <si>
    <t xml:space="preserve">Belum ada</t>
  </si>
  <si>
    <t xml:space="preserve">Menghitung kekurangan…</t>
  </si>
  <si>
    <t xml:space="preserve">MONITOR ADMINISTRASI</t>
  </si>
  <si>
    <t xml:space="preserve">Pantau guru</t>
  </si>
  <si>
    <t xml:space="preserve">Guru perlu ditindaklanjuti</t>
  </si>
  <si>
    <t xml:space="preserve">Guru yang perlu diingatkan</t>
  </si>
  <si>
    <t xml:space="preserve">Monitor</t>
  </si>
  <si>
    <t xml:space="preserve">Pantau</t>
  </si>
  <si>
    <t xml:space="preserve">PORTAL GURU</t>
  </si>
  <si>
    <t xml:space="preserve">Kegiatan guru</t>
  </si>
  <si>
    <t xml:space="preserve">Aktivitas terbaru guru</t>
  </si>
  <si>
    <t xml:space="preserve">Kegiatan terbaru</t>
  </si>
  <si>
    <t xml:space="preserve">Guru &amp; Tendik</t>
  </si>
  <si>
    <t xml:space="preserve">Guru dan tendik</t>
  </si>
  <si>
    <t xml:space="preserve">Di Data Sekolah</t>
  </si>
  <si>
    <t xml:space="preserve">Sarpras</t>
  </si>
  <si>
    <t xml:space="preserve">Di Pengaturan Sekolah</t>
  </si>
  <si>
    <t xml:space="preserve">Kurikulum sekolah</t>
  </si>
  <si>
    <t xml:space="preserve">Di Program Sekolah</t>
  </si>
  <si>
    <t xml:space="preserve">Program Kerja</t>
  </si>
  <si>
    <t xml:space="preserve">Program kerja</t>
  </si>
  <si>
    <t xml:space="preserve">Agenda Rapat</t>
  </si>
  <si>
    <t xml:space="preserve">Agenda dan rapat</t>
  </si>
  <si>
    <t xml:space="preserve">Dokumen</t>
  </si>
  <si>
    <t xml:space="preserve">Dokumen sekolah</t>
  </si>
  <si>
    <t xml:space="preserve">Akademik / Kesiswaan / Manajemen Sekolah / Kinerja Kepala Sekolah</t>
  </si>
  <si>
    <t xml:space="preserve">Ringkasan / Pantau Guru / Validasi / Supervisi / Program Sekolah / Agenda dan Rapat / Data Sekolah / Pengaturan Sekolah</t>
  </si>
  <si>
    <t xml:space="preserve">Menu kepala sekolah disusun ulang; lihat dokumen perombakan</t>
  </si>
  <si>
    <t xml:space="preserve">Pilih fitur yang ingin dibuka.</t>
  </si>
  <si>
    <t xml:space="preserve">Pilih menu.</t>
  </si>
  <si>
    <t xml:space="preserve">Perlu Perhatian</t>
  </si>
  <si>
    <t xml:space="preserve">Perlu diperiksa</t>
  </si>
  <si>
    <t xml:space="preserve">Pusat Perhatian</t>
  </si>
  <si>
    <t xml:space="preserve">Digabung dengan Perlu Perhatian</t>
  </si>
  <si>
    <t xml:space="preserve">Memuat prioritas sekolah…</t>
  </si>
  <si>
    <t xml:space="preserve">Data penting akan tampil otomatis.</t>
  </si>
  <si>
    <t xml:space="preserve">Semua aman. Hal yang perlu diperiksa akan muncul di sini.</t>
  </si>
  <si>
    <t xml:space="preserve">Jadwal Sekolah</t>
  </si>
  <si>
    <t xml:space="preserve">Jadwal sekolah</t>
  </si>
  <si>
    <t xml:space="preserve">Memuat agenda…</t>
  </si>
  <si>
    <t xml:space="preserve">Pembaruan Data</t>
  </si>
  <si>
    <t xml:space="preserve">Pembaruan terakhir</t>
  </si>
  <si>
    <t xml:space="preserve">Aktivitas Terbaru</t>
  </si>
  <si>
    <t xml:space="preserve">Belum dimuat</t>
  </si>
  <si>
    <t xml:space="preserve">Periode Pemantauan</t>
  </si>
  <si>
    <t xml:space="preserve">Rentang</t>
  </si>
  <si>
    <t xml:space="preserve">Menentukan rentang data yang direkap.</t>
  </si>
  <si>
    <t xml:space="preserve">Data dihitung untuk rentang ini.</t>
  </si>
  <si>
    <t xml:space="preserve">Jenis Administrasi</t>
  </si>
  <si>
    <t xml:space="preserve">Jenis administrasi</t>
  </si>
  <si>
    <t xml:space="preserve">Kesiswaan / Harian / Penilaian / Lain-lain / Semua / Rencana Kenaikan</t>
  </si>
  <si>
    <t xml:space="preserve">Kelas Saya / Di Kelas / Asesmen / Lainnya / Semua / Kenaikan kelas</t>
  </si>
  <si>
    <t xml:space="preserve">Mengikuti nama menu baru</t>
  </si>
  <si>
    <t xml:space="preserve">Monitoring Administrasi Guru</t>
  </si>
  <si>
    <t xml:space="preserve">Memuat statistik seluruh guru…</t>
  </si>
  <si>
    <t xml:space="preserve">Memuat data guru…</t>
  </si>
  <si>
    <t xml:space="preserve">Modul Disiapkan</t>
  </si>
  <si>
    <t xml:space="preserve">Segera hadir</t>
  </si>
  <si>
    <t xml:space="preserve">Struktur modul telah tersedia dan siap dikembangkan tanpa mengubah data administrasi guru.</t>
  </si>
  <si>
    <t xml:space="preserve">Menu ini sedang disiapkan.</t>
  </si>
  <si>
    <t xml:space="preserve">Kembali ke Dashboard</t>
  </si>
  <si>
    <t xml:space="preserve">Kembali ke Ringkasan</t>
  </si>
  <si>
    <t xml:space="preserve">KALENDER TAHUN AJARAN</t>
  </si>
  <si>
    <t xml:space="preserve">Kalender tahun ajaran</t>
  </si>
  <si>
    <t xml:space="preserve">Dasar perhitungan administrasi</t>
  </si>
  <si>
    <t xml:space="preserve">Dipakai untuk menghitung target administrasi</t>
  </si>
  <si>
    <t xml:space="preserve">Modul dan jurnal dihitung mulai pembelajaran efektif. Absensi dihitung sejak awal tahun ajaran.</t>
  </si>
  <si>
    <t xml:space="preserve">RPM dan jurnal dihitung sejak pembelajaran efektif; absensi sejak awal tahun ajaran.</t>
  </si>
  <si>
    <t xml:space="preserve">Tanggal Mulai Tahun Ajaran Baru</t>
  </si>
  <si>
    <t xml:space="preserve">Mulai tahun ajaran</t>
  </si>
  <si>
    <t xml:space="preserve">Mulai Pembelajaran Efektif Semester 1</t>
  </si>
  <si>
    <t xml:space="preserve">Mulai pembelajaran semester 1</t>
  </si>
  <si>
    <t xml:space="preserve">Mulai Pembelajaran Efektif Semester 2</t>
  </si>
  <si>
    <t xml:space="preserve">Mulai pembelajaran semester 2</t>
  </si>
  <si>
    <t xml:space="preserve">Termasuk masa pengenalan lingkungan sekolah atau orientasi peserta didik.</t>
  </si>
  <si>
    <t xml:space="preserve">Termasuk MPLS.</t>
  </si>
  <si>
    <t xml:space="preserve">Wajib dilengkapi sebelum Semester 2 digunakan.</t>
  </si>
  <si>
    <t xml:space="preserve">Isi sebelum semester 2 dimulai.</t>
  </si>
  <si>
    <t xml:space="preserve">Lengkapi tanggal untuk melihat ringkasan masa orientasi dan awal penghitungan.</t>
  </si>
  <si>
    <t xml:space="preserve">Isi tanggal di atas untuk melihat ringkasannya.</t>
  </si>
  <si>
    <t xml:space="preserve">Biarkan kosong untuk mempertahankan logo tersimpan.</t>
  </si>
  <si>
    <t xml:space="preserve">Kosongkan bila logo tidak diganti.</t>
  </si>
  <si>
    <t xml:space="preserve">Simpan Profil</t>
  </si>
  <si>
    <t xml:space="preserve">Simpan profil</t>
  </si>
  <si>
    <t xml:space="preserve">PROSES AKTIVASI</t>
  </si>
  <si>
    <t xml:space="preserve">Menyimpan</t>
  </si>
  <si>
    <t xml:space="preserve">Menyimpan profil</t>
  </si>
  <si>
    <t xml:space="preserve">Menyimpan profil…</t>
  </si>
  <si>
    <t xml:space="preserve">Menyiapkan data yang akan disimpan…</t>
  </si>
  <si>
    <t xml:space="preserve">Menyiapkan data…</t>
  </si>
  <si>
    <t xml:space="preserve">Mohon tetap di halaman ini.</t>
  </si>
  <si>
    <t xml:space="preserve">A4 (210 × 297 mm) / F4 / Folio (215 × 330 mm)</t>
  </si>
  <si>
    <t xml:space="preserve">A4 / F4</t>
  </si>
  <si>
    <t xml:space="preserve">Sudah ada di Semua halaman</t>
  </si>
  <si>
    <t xml:space="preserve">Pilih ukuran kertas yang digunakan saat ekspor atau cetak PDF.</t>
  </si>
  <si>
    <t xml:space="preserve">Logo sekolah siap disimpan.</t>
  </si>
  <si>
    <t xml:space="preserve">Logo siap. Ketuk Simpan untuk memakainya.</t>
  </si>
  <si>
    <t xml:space="preserve">Profil tersimpan, tetapi sebagian data dashboard belum dapat dimuat.</t>
  </si>
  <si>
    <t xml:space="preserve">Profil tersimpan. Sebagian ringkasan belum termuat; muat ulang bila perlu.</t>
  </si>
  <si>
    <t xml:space="preserve">Profil Kepala Sekolah berhasil disimpan.</t>
  </si>
  <si>
    <t xml:space="preserve">Profil kepala sekolah tersimpan.</t>
  </si>
  <si>
    <t xml:space="preserve">Institution ID akun belum tersedia. Hubungi Super Admin untuk memeriksa penetapan sekolah.</t>
  </si>
  <si>
    <t xml:space="preserve">Akun Anda belum terhubung ke sekolah. Hubungi tim Sigrak lewat Minta Bantuan.</t>
  </si>
  <si>
    <t xml:space="preserve">Sebagian data belum dapat dibaca: {…}. Data lain tetap ditampilkan.</t>
  </si>
  <si>
    <t xml:space="preserve">Sebagian data belum termuat ({…}). Data lain tetap ditampilkan.</t>
  </si>
  <si>
    <t xml:space="preserve">Data dashboard berhasil diperbarui.</t>
  </si>
  <si>
    <t xml:space="preserve">Ringkasan diperbarui.</t>
  </si>
  <si>
    <t xml:space="preserve">Lengkapi visi, misi, dan tujuan sekolah.</t>
  </si>
  <si>
    <t xml:space="preserve">Visi, misi, dan tujuan berhasil disimpan.</t>
  </si>
  <si>
    <t xml:space="preserve">Visi, misi, dan tujuan tersimpan.</t>
  </si>
  <si>
    <t xml:space="preserve">Gagal menyimpan dokumen: {…}</t>
  </si>
  <si>
    <t xml:space="preserve">Dokumen belum berhasil disimpan. ({…})</t>
  </si>
  <si>
    <t xml:space="preserve">Nama Kepala Sekolah belum tersedia.</t>
  </si>
  <si>
    <t xml:space="preserve">Nama kepala sekolah belum diisi. Lengkapi di Pengaturan Sekolah.</t>
  </si>
  <si>
    <t xml:space="preserve">Struktur organisasi berhasil disimpan.</t>
  </si>
  <si>
    <t xml:space="preserve">Struktur organisasi tersimpan.</t>
  </si>
  <si>
    <t xml:space="preserve">Gagal menyimpan struktur: {…}</t>
  </si>
  <si>
    <t xml:space="preserve">Struktur organisasi belum berhasil disimpan. ({…})</t>
  </si>
  <si>
    <t xml:space="preserve">API Key Gemini belum tersedia. Tambahkan melalui Pengaturan.</t>
  </si>
  <si>
    <t xml:space="preserve">Fitur ini memakai AI. Tambahkan kunci AI di Akun &gt; Kunci AI Saya.</t>
  </si>
  <si>
    <t xml:space="preserve">Draf AI sudah dimasukkan. Periksa lalu klik Simpan.</t>
  </si>
  <si>
    <t xml:space="preserve">Draf dari AI sudah masuk. Periksa, lalu simpan.</t>
  </si>
  <si>
    <t xml:space="preserve">AI gagal menyusun draf: {…}</t>
  </si>
  <si>
    <t xml:space="preserve">AI belum berhasil menyusun draf. Coba lagi.</t>
  </si>
  <si>
    <t xml:space="preserve">Simpan dokumen terlebih dahulu sebelum didownload.</t>
  </si>
  <si>
    <t xml:space="preserve">Simpan dokumen dulu sebelum mengunduh.</t>
  </si>
  <si>
    <t xml:space="preserve">Mesin download dokumen belum berhasil dimuat. Muat ulang halaman.</t>
  </si>
  <si>
    <t xml:space="preserve">Pengunduh belum siap. Muat ulang halaman.</t>
  </si>
  <si>
    <t xml:space="preserve">Simpan dokumen terlebih dahulu sebelum dicetak.</t>
  </si>
  <si>
    <t xml:space="preserve">Simpan dokumen dulu sebelum mencetak.</t>
  </si>
  <si>
    <t xml:space="preserve">Mesin cetak dokumen belum berhasil dimuat. Muat ulang halaman.</t>
  </si>
  <si>
    <t xml:space="preserve">Fitur cetak belum siap. Muat ulang halaman.</t>
  </si>
  <si>
    <t xml:space="preserve">Gagal menyimpan profil: {…}</t>
  </si>
  <si>
    <t xml:space="preserve">Profil belum berhasil disimpan. ({…})</t>
  </si>
  <si>
    <t xml:space="preserve">Password minimal 6 karakter.</t>
  </si>
  <si>
    <t xml:space="preserve">Konfirmasi password tidak cocok.</t>
  </si>
  <si>
    <t xml:space="preserve">Sesi autentikasi tidak aktif. Silakan login ulang.</t>
  </si>
  <si>
    <t xml:space="preserve">Password berhasil diubah.</t>
  </si>
  <si>
    <t xml:space="preserve">Gagal mengubah password: {…}</t>
  </si>
  <si>
    <t xml:space="preserve">Kata sandi belum berhasil diganti. ({…})</t>
  </si>
  <si>
    <t xml:space="preserve">Lengkapi seluruh data wajib Guru/Tendik.</t>
  </si>
  <si>
    <t xml:space="preserve">Lengkapi data guru dan tendik yang bertanda wajib.</t>
  </si>
  <si>
    <t xml:space="preserve">Data Guru/Tendik berhasil disimpan.</t>
  </si>
  <si>
    <t xml:space="preserve">Data guru dan tendik tersimpan.</t>
  </si>
  <si>
    <t xml:space="preserve">Hanya data yang ditambahkan manual yang dapat dihapus. Akun Portal Guru dikelola dari akun guru itu sendiri.</t>
  </si>
  <si>
    <t xml:space="preserve">Hanya data yang ditambahkan manual yang bisa dihapus. Akun guru dikelola guru masing-masing.</t>
  </si>
  <si>
    <t xml:space="preserve">Data gagal dihapus: {…}</t>
  </si>
  <si>
    <t xml:space="preserve">Data belum berhasil dihapus. ({…})</t>
  </si>
  <si>
    <t xml:space="preserve">File gagal disiapkan: {…}</t>
  </si>
  <si>
    <t xml:space="preserve">File belum berhasil disiapkan. ({…})</t>
  </si>
  <si>
    <t xml:space="preserve">{…} data Guru/Tendik berhasil diimpor.</t>
  </si>
  <si>
    <t xml:space="preserve">{…} data guru dan tendik berhasil diimpor.</t>
  </si>
  <si>
    <t xml:space="preserve">Data siswa dikelola oleh guru kelas yang terhubung ke EDUNEXA.</t>
  </si>
  <si>
    <t xml:space="preserve">Data siswa dikelola oleh wali kelas masing-masing.</t>
  </si>
  <si>
    <t xml:space="preserve">Pemberitahuan tidak dapat dikirim karena {…} belum terhubung ke Portal Guru.</t>
  </si>
  <si>
    <t xml:space="preserve">Pengingat belum bisa dikirim karena {…} belum punya akun Sigrak.</t>
  </si>
  <si>
    <t xml:space="preserve">Pemberitahuan gagal dikirim: {…}</t>
  </si>
  <si>
    <t xml:space="preserve">Pengingat belum terkirim. ({…})</t>
  </si>
  <si>
    <t xml:space="preserve">Pemberitahuan berhasil dikirim ke Portal Guru.</t>
  </si>
  <si>
    <t xml:space="preserve">Pengingat terkirim ke guru.</t>
  </si>
  <si>
    <t xml:space="preserve">Pemberitahuan tidak dapat dibatalkan karena {…} belum terhubung ke Portal Guru.</t>
  </si>
  <si>
    <t xml:space="preserve">Pengingat tidak bisa dibatalkan karena {…} belum punya akun Sigrak.</t>
  </si>
  <si>
    <t xml:space="preserve">Belum ada pemberitahuan yang dikirim untuk dibatalkan.</t>
  </si>
  <si>
    <t xml:space="preserve">Belum ada pengingat yang bisa dibatalkan.</t>
  </si>
  <si>
    <t xml:space="preserve">Status pemberitahuan gagal diperiksa: {…}</t>
  </si>
  <si>
    <t xml:space="preserve">Status pengingat belum bisa diperiksa. ({…})</t>
  </si>
  <si>
    <t xml:space="preserve">Pemberitahuan ini sudah tidak aktif.</t>
  </si>
  <si>
    <t xml:space="preserve">Pengingat ini sudah tidak aktif.</t>
  </si>
  <si>
    <t xml:space="preserve">Pemberitahuan telah ditarik dari Portal Guru.</t>
  </si>
  <si>
    <t xml:space="preserve">Pengingat ditarik.</t>
  </si>
  <si>
    <t xml:space="preserve">Pemberitahuan gagal dibatalkan: {…}</t>
  </si>
  <si>
    <t xml:space="preserve">Pengingat belum berhasil ditarik. ({…})</t>
  </si>
  <si>
    <t xml:space="preserve">Kelas, nomor urut, nama, jenis kelamin, dan tanggal lahir wajib diisi.</t>
  </si>
  <si>
    <t xml:space="preserve">Isi kelas, nomor urut, nama, jenis kelamin, dan tanggal lahir.</t>
  </si>
  <si>
    <t xml:space="preserve">Kelas ini memiliki guru EDUNEXA. Perubahan hanya dapat dilakukan oleh guru kelas.</t>
  </si>
  <si>
    <t xml:space="preserve">Data kelas ini dikelola wali kelasnya di Sigrak.</t>
  </si>
  <si>
    <t xml:space="preserve">Data siswa berhasil disimpan.</t>
  </si>
  <si>
    <t xml:space="preserve">Data siswa tersimpan.</t>
  </si>
  <si>
    <t xml:space="preserve">{…} siswa dari {…} kelas berhasil diimpor</t>
  </si>
  <si>
    <t xml:space="preserve">{…} siswa dari {…} kelas berhasil diimpor.</t>
  </si>
  <si>
    <t xml:space="preserve">Nama barang, jumlah, dan kondisi wajib diisi.</t>
  </si>
  <si>
    <t xml:space="preserve">Isi nama barang, jumlah, dan kondisi.</t>
  </si>
  <si>
    <t xml:space="preserve">Inventaris Sekolah berhasil disimpan.</t>
  </si>
  <si>
    <t xml:space="preserve">Inventaris sekolah tersimpan.</t>
  </si>
  <si>
    <t xml:space="preserve">{…} barang Inventaris Sekolah berhasil diimpor.</t>
  </si>
  <si>
    <t xml:space="preserve">{…} barang berhasil diimpor ke inventaris sekolah.</t>
  </si>
  <si>
    <t xml:space="preserve">Inventaris kelas dikelola oleh guru kelas.</t>
  </si>
  <si>
    <t xml:space="preserve">Inventaris kelas dikelola wali kelas masing-masing.</t>
  </si>
  <si>
    <t xml:space="preserve">Ada {…} catatan baru dari Pengawas.</t>
  </si>
  <si>
    <t xml:space="preserve">Ada {…} catatan baru dari pengawas.</t>
  </si>
  <si>
    <t xml:space="preserve">Catatan belum diisi.</t>
  </si>
  <si>
    <t xml:space="preserve">Tulis catatan Anda.</t>
  </si>
  <si>
    <t xml:space="preserve">Pemberitahuan berhasil dikirim ke Kepala Sekolah.</t>
  </si>
  <si>
    <t xml:space="preserve">Catatan terkirim ke kepala sekolah.</t>
  </si>
  <si>
    <t xml:space="preserve">Catatan Pengawas ditandai sudah dibaca.</t>
  </si>
  <si>
    <t xml:space="preserve">Catatan pengawas ditandai sudah dibaca.</t>
  </si>
  <si>
    <t xml:space="preserve">Catatan Pengawas gagal dimuat: {…}</t>
  </si>
  <si>
    <t xml:space="preserve">Catatan pengawas belum berhasil dimuat. ({…})</t>
  </si>
  <si>
    <t xml:space="preserve">Data sekolah ini belum dapat dibaca</t>
  </si>
  <si>
    <t xml:space="preserve">Data sekolah ini belum bisa dimuat</t>
  </si>
  <si>
    <t xml:space="preserve">Sekolah ini belum menyelesaikan aktivasi</t>
  </si>
  <si>
    <t xml:space="preserve">Sekolah ini belum selesai didaftarkan</t>
  </si>
  <si>
    <t xml:space="preserve">Portal Kepala Sekolah belum dapat dibuka</t>
  </si>
  <si>
    <t xml:space="preserve">Portal kepala sekolah belum bisa dibuka</t>
  </si>
  <si>
    <t xml:space="preserve">Pusat bantuan akan dihubungkan pada tahap berikutnya.</t>
  </si>
  <si>
    <t xml:space="preserve">Pusat bantuan segera hadir. Sementara itu, hubungi kami lewat Minta Bantuan.</t>
  </si>
  <si>
    <t xml:space="preserve">Ukuran kertas default: {…}. Tersimpan ke akun, sama di perangkat manapun.</t>
  </si>
  <si>
    <t xml:space="preserve">Ukuran kertas bawaan: {…}. Berlaku di semua perangkat Anda.</t>
  </si>
  <si>
    <t xml:space="preserve">Ukuran kertas default: {…} (tersimpan di perangkat ini saja - gagal sinkron ke akun).</t>
  </si>
  <si>
    <t xml:space="preserve">Ukuran kertas bawaan: {…}. Baru tersimpan di perangkat ini; akan dikirim saat tersambung.</t>
  </si>
  <si>
    <t xml:space="preserve">Pesan wajib diisi.</t>
  </si>
  <si>
    <t xml:space="preserve">Progres guru ini belum selesai dihitung.</t>
  </si>
  <si>
    <t xml:space="preserve">Progres guru ini masih dihitung. Tunggu sebentar.</t>
  </si>
  <si>
    <t xml:space="preserve">Pengingat berhasil dibatalkan.</t>
  </si>
  <si>
    <t xml:space="preserve">Pengingat dibatalkan.</t>
  </si>
  <si>
    <t xml:space="preserve">Pengingat gagal dibatalkan: {…}</t>
  </si>
  <si>
    <t xml:space="preserve">Pengingat belum berhasil dibatalkan. ({…})</t>
  </si>
  <si>
    <t xml:space="preserve">Tunggu sampai progres semua guru selesai dihitung.</t>
  </si>
  <si>
    <t xml:space="preserve">Semua guru sudah lengkap pada rentang ini. Tidak ada pengingat yang perlu dikirim.</t>
  </si>
  <si>
    <t xml:space="preserve">Semua guru sudah lengkap pada rentang ini. Tidak ada yang perlu diingatkan.</t>
  </si>
  <si>
    <t xml:space="preserve">{…} pemberitahuan berhasil dikirim</t>
  </si>
  <si>
    <t xml:space="preserve">{…} pengingat terkirim.</t>
  </si>
  <si>
    <t xml:space="preserve">Mesin cetak belum termuat. Muat ulang halaman.</t>
  </si>
  <si>
    <t xml:space="preserve">Data Monitor berhasil didownload.</t>
  </si>
  <si>
    <t xml:space="preserve">Data pantauan berhasil diunduh.</t>
  </si>
  <si>
    <t xml:space="preserve">Pilih minimal satu semester.</t>
  </si>
  <si>
    <t xml:space="preserve">Pilih minimal satu instrumen supervisi.</t>
  </si>
  <si>
    <t xml:space="preserve">Pilih minimal satu guru sasaran.</t>
  </si>
  <si>
    <t xml:space="preserve">Pilih minimal satu guru.</t>
  </si>
  <si>
    <t xml:space="preserve">Program supervisi tahunan berhasil disimpan.</t>
  </si>
  <si>
    <t xml:space="preserve">Program supervisi tahunan tersimpan.</t>
  </si>
  <si>
    <t xml:space="preserve">Program gagal disimpan: {…}</t>
  </si>
  <si>
    <t xml:space="preserve">Program supervisi belum berhasil disimpan. ({…})</t>
  </si>
  <si>
    <t xml:space="preserve">Pilih guru yang akan disupervisi.</t>
  </si>
  <si>
    <t xml:space="preserve">Tanggal dan waktu mulai wajib diisi.</t>
  </si>
  <si>
    <t xml:space="preserve">Isi tanggal dan jam mulai.</t>
  </si>
  <si>
    <t xml:space="preserve">Pemberitahuan hanya dapat dikirim kepada guru yang memiliki akun Portal Guru.</t>
  </si>
  <si>
    <t xml:space="preserve">Pengingat hanya bisa dikirim ke guru yang punya akun Sigrak.</t>
  </si>
  <si>
    <t xml:space="preserve">Jadwal gagal disimpan: {…}</t>
  </si>
  <si>
    <t xml:space="preserve">Jadwal belum berhasil disimpan. ({…})</t>
  </si>
  <si>
    <t xml:space="preserve">Jadwal dan hasil terkait tidak akan dihapus otomatis.</t>
  </si>
  <si>
    <t xml:space="preserve">Hapus jadwal supervisi ini? Hasil supervisi yang sudah diisi tetap tersimpan.</t>
  </si>
  <si>
    <t xml:space="preserve">Jadwal berhasil dihapus.</t>
  </si>
  <si>
    <t xml:space="preserve">Jadwal dihapus.</t>
  </si>
  <si>
    <t xml:space="preserve">Jadwal gagal dihapus: {…}</t>
  </si>
  <si>
    <t xml:space="preserve">Jadwal belum berhasil dihapus. ({…})</t>
  </si>
  <si>
    <t xml:space="preserve">Masih ada {…} indikator yang belum dinilai.</t>
  </si>
  <si>
    <t xml:space="preserve">Penilaian gagal disimpan: {…}</t>
  </si>
  <si>
    <t xml:space="preserve">Penilaian belum berhasil disimpan. ({…})</t>
  </si>
  <si>
    <t xml:space="preserve">Hasil gagal disimpan: {…}</t>
  </si>
  <si>
    <t xml:space="preserve">Hasil supervisi belum berhasil disimpan. ({…})</t>
  </si>
  <si>
    <t xml:space="preserve">Simpan program supervisi terlebih dahulu.</t>
  </si>
  <si>
    <t xml:space="preserve">Pilih hasil supervisi terlebih dahulu.</t>
  </si>
  <si>
    <t xml:space="preserve">Pilih hasil supervisi.</t>
  </si>
  <si>
    <t xml:space="preserve">Kirim pemberitahuan ke guru?</t>
  </si>
  <si>
    <t xml:space="preserve">Kirim pengingat ke guru?</t>
  </si>
  <si>
    <t xml:space="preserve">Pemberitahuan dari kepala sekolah ke guru = pengingat</t>
  </si>
  <si>
    <t xml:space="preserve">Kirim Pemberitahuan?</t>
  </si>
  <si>
    <t xml:space="preserve">Kirim pengingat?</t>
  </si>
  <si>
    <t xml:space="preserve">Batalkan pemberitahuan?</t>
  </si>
  <si>
    <t xml:space="preserve">Tarik pengingat?</t>
  </si>
  <si>
    <t xml:space="preserve">Ya, Batalkan</t>
  </si>
  <si>
    <t xml:space="preserve">Tarik pengingat</t>
  </si>
  <si>
    <t xml:space="preserve">Batalkan Pemberitahuan?</t>
  </si>
  <si>
    <t xml:space="preserve">Kirim Catatan ke Kepala Sekolah</t>
  </si>
  <si>
    <t xml:space="preserve">Kirim catatan ke kepala sekolah</t>
  </si>
  <si>
    <t xml:space="preserve">Mengirim pemberitahuan…</t>
  </si>
  <si>
    <t xml:space="preserve">Mengirim…</t>
  </si>
  <si>
    <t xml:space="preserve">Menyimpan catatan untuk Kepala Sekolah.</t>
  </si>
  <si>
    <t xml:space="preserve">Menyimpan catatan untuk kepala sekolah…</t>
  </si>
  <si>
    <t xml:space="preserve">Pemberitahuan Terkirim</t>
  </si>
  <si>
    <t xml:space="preserve">Catatan terkirim</t>
  </si>
  <si>
    <t xml:space="preserve">Catatan berhasil dikirim kepada {…}.</t>
  </si>
  <si>
    <t xml:space="preserve">Catatan terkirim ke {…}.</t>
  </si>
  <si>
    <t xml:space="preserve">Pemberitahuan gagal dikirim</t>
  </si>
  <si>
    <t xml:space="preserve">Catatan belum terkirim</t>
  </si>
  <si>
    <t xml:space="preserve">Catatan dari Pengawas</t>
  </si>
  <si>
    <t xml:space="preserve">Catatan dari pengawas</t>
  </si>
  <si>
    <t xml:space="preserve">Tindak lanjut sudah aktif</t>
  </si>
  <si>
    <t xml:space="preserve">Pengingat sudah dikirim</t>
  </si>
  <si>
    <t xml:space="preserve">Kirim Ulang</t>
  </si>
  <si>
    <t xml:space="preserve">Kirim lagi</t>
  </si>
  <si>
    <t xml:space="preserve">Tindak Lanjut Sudah Aktif</t>
  </si>
  <si>
    <t xml:space="preserve">Pengingat Massal</t>
  </si>
  <si>
    <t xml:space="preserve">Ingatkan beberapa guru</t>
  </si>
  <si>
    <t xml:space="preserve">Download {…}</t>
  </si>
  <si>
    <t xml:space="preserve">Unduh {…}</t>
  </si>
  <si>
    <t xml:space="preserve">Portal Pengawas</t>
  </si>
  <si>
    <t xml:space="preserve">EDUNEXA — Portal Pengawas</t>
  </si>
  <si>
    <t xml:space="preserve">Pengawas — Sigrak</t>
  </si>
  <si>
    <t xml:space="preserve">Meta</t>
  </si>
  <si>
    <t xml:space="preserve">Portal Pengawas EDUNEXA -- lihat-saja lintas sekolah binaan</t>
  </si>
  <si>
    <t xml:space="preserve">Pantau sekolah binaan Anda di Sigrak.</t>
  </si>
  <si>
    <t xml:space="preserve">Memeriksa akses Pengawas</t>
  </si>
  <si>
    <t xml:space="preserve">Memeriksa akun pengawas…</t>
  </si>
  <si>
    <t xml:space="preserve">AKTIVASI PENGAWAS</t>
  </si>
  <si>
    <t xml:space="preserve">Langkah awal pengawas</t>
  </si>
  <si>
    <t xml:space="preserve">Pilih Kecamatan Binaan Anda</t>
  </si>
  <si>
    <t xml:space="preserve">Pilih kecamatan binaan</t>
  </si>
  <si>
    <t xml:space="preserve">Sekolah yang bisa Anda lihat nanti dipilih dari kecamatan ini.</t>
  </si>
  <si>
    <t xml:space="preserve">Sekolah binaan dipilih dari kecamatan ini.</t>
  </si>
  <si>
    <t xml:space="preserve">Anda bisa mengganti kecamatan kapan saja dari halaman berikutnya.</t>
  </si>
  <si>
    <t xml:space="preserve">Kecamatan bisa diganti kapan saja.</t>
  </si>
  <si>
    <t xml:space="preserve">Tetap; bawaan daftar kecamatan di Kudus</t>
  </si>
  <si>
    <t xml:space="preserve">Memuat daftar kecamatan…</t>
  </si>
  <si>
    <t xml:space="preserve">Memuat kecamatan…</t>
  </si>
  <si>
    <t xml:space="preserve">Belum ada sekolah dengan data kecamatan terisi di sistem.</t>
  </si>
  <si>
    <t xml:space="preserve">Belum ada sekolah terdaftar di kecamatan ini.</t>
  </si>
  <si>
    <t xml:space="preserve">Lanjutkan: Pilih Sekolah</t>
  </si>
  <si>
    <t xml:space="preserve">Pilih Sekolah Binaan</t>
  </si>
  <si>
    <t xml:space="preserve">Pilih sekolah binaan</t>
  </si>
  <si>
    <t xml:space="preserve">Kecamatan:</t>
  </si>
  <si>
    <t xml:space="preserve">ganti kecamatan</t>
  </si>
  <si>
    <t xml:space="preserve">Centang sekolah yang menjadi binaan Anda.</t>
  </si>
  <si>
    <t xml:space="preserve">Centang sekolah binaan Anda.</t>
  </si>
  <si>
    <t xml:space="preserve">Anda hanya bisa melihat (tidak mengubah) data sekolah yang dicentang di sini.</t>
  </si>
  <si>
    <t xml:space="preserve">Anda bisa melihat data sekolah ini, tetapi tidak mengubahnya.</t>
  </si>
  <si>
    <t xml:space="preserve">0 sekolah dipilih</t>
  </si>
  <si>
    <t xml:space="preserve">{n} sekolah dipilih</t>
  </si>
  <si>
    <t xml:space="preserve">Memuat daftar sekolah…</t>
  </si>
  <si>
    <t xml:space="preserve">Memuat sekolah…</t>
  </si>
  <si>
    <t xml:space="preserve">Simpan Sekolah Binaan</t>
  </si>
  <si>
    <t xml:space="preserve">Simpan sekolah binaan</t>
  </si>
  <si>
    <t xml:space="preserve">Pengawas</t>
  </si>
  <si>
    <t xml:space="preserve">PENGAWAS · Kecamatan</t>
  </si>
  <si>
    <t xml:space="preserve">Pengawas · Kec. {nama}</t>
  </si>
  <si>
    <t xml:space="preserve">Belum ada sekolah binaan yang dicentang.</t>
  </si>
  <si>
    <t xml:space="preserve">Belum ada sekolah binaan. Pilih sekolah untuk mulai memantau.</t>
  </si>
  <si>
    <t xml:space="preserve">Sekolah binaan berhasil disimpan.</t>
  </si>
  <si>
    <t xml:space="preserve">Sekolah binaan tersimpan.</t>
  </si>
  <si>
    <t xml:space="preserve">Portal Pengawas belum dapat dibuka</t>
  </si>
  <si>
    <t xml:space="preserve">Portal pengawas belum bisa dibuka</t>
  </si>
  <si>
    <t xml:space="preserve">Super Admin (index.html)</t>
  </si>
  <si>
    <t xml:space="preserve">Control Center</t>
  </si>
  <si>
    <t xml:space="preserve">Konsol</t>
  </si>
  <si>
    <t xml:space="preserve">Control Center Super Admin</t>
  </si>
  <si>
    <t xml:space="preserve">Konsol tim Sigrak</t>
  </si>
  <si>
    <t xml:space="preserve">Buka portal administratif khusus tanpa keluar dari akun ini.</t>
  </si>
  <si>
    <t xml:space="preserve">Buka konsol tanpa keluar dari akun ini.</t>
  </si>
  <si>
    <t xml:space="preserve">Manajemen Pengguna</t>
  </si>
  <si>
    <t xml:space="preserve">Pengguna</t>
  </si>
  <si>
    <t xml:space="preserve">Kelola akun, role, instansi, dan status pengguna.</t>
  </si>
  <si>
    <t xml:space="preserve">Akun, peran, sekolah, dan status.</t>
  </si>
  <si>
    <t xml:space="preserve">Data Akademik</t>
  </si>
  <si>
    <t xml:space="preserve">Pantau data Guru berdasarkan instansi.</t>
  </si>
  <si>
    <t xml:space="preserve">Pantau data guru per sekolah.</t>
  </si>
  <si>
    <t xml:space="preserve">Kotak Pesan Guru</t>
  </si>
  <si>
    <t xml:space="preserve">Pesan bantuan</t>
  </si>
  <si>
    <t xml:space="preserve">Baca dan balas permintaan bantuan Guru.</t>
  </si>
  <si>
    <t xml:space="preserve">Baca dan balas permintaan bantuan.</t>
  </si>
  <si>
    <t xml:space="preserve">Pusat Kendali</t>
  </si>
  <si>
    <t xml:space="preserve">Ringkasan Portal</t>
  </si>
  <si>
    <t xml:space="preserve">Realtime DB (Rekaman)</t>
  </si>
  <si>
    <t xml:space="preserve">Tidak relevan setelah pindah ke MySQL</t>
  </si>
  <si>
    <t xml:space="preserve">Cloud Firestore (Dokumen)</t>
  </si>
  <si>
    <t xml:space="preserve">Idem</t>
  </si>
  <si>
    <t xml:space="preserve">Hitung ulang langsung dari Firebase (angka di atas dari cache)</t>
  </si>
  <si>
    <t xml:space="preserve">Hitung ulang</t>
  </si>
  <si>
    <t xml:space="preserve">Ringkasan dimuat satu kali, tanpa listener realtime.</t>
  </si>
  <si>
    <t xml:space="preserve">Istilah teknis</t>
  </si>
  <si>
    <t xml:space="preserve">Daftarkan Pengguna Baru</t>
  </si>
  <si>
    <t xml:space="preserve">Undang pengguna</t>
  </si>
  <si>
    <t xml:space="preserve">Username Unik</t>
  </si>
  <si>
    <t xml:space="preserve">Hak Akses</t>
  </si>
  <si>
    <t xml:space="preserve">Guru Umum</t>
  </si>
  <si>
    <t xml:space="preserve">Guru kelas</t>
  </si>
  <si>
    <t xml:space="preserve">Guru Mapel</t>
  </si>
  <si>
    <t xml:space="preserve">Guru mapel</t>
  </si>
  <si>
    <t xml:space="preserve">Admin / Kepala Sekolah</t>
  </si>
  <si>
    <t xml:space="preserve">Admin sekolah / Kepala sekolah</t>
  </si>
  <si>
    <t xml:space="preserve">Usul dipisah jadi dua peran</t>
  </si>
  <si>
    <t xml:space="preserve">Super Admin</t>
  </si>
  <si>
    <t xml:space="preserve">Tim Sigrak</t>
  </si>
  <si>
    <t xml:space="preserve">Lewati pengisian data akademik awal (langsung bisa dipakai, isi data asal/default -- cocok untuk akun uji coba)</t>
  </si>
  <si>
    <t xml:space="preserve">Akun uji coba (lewati panduan awal)</t>
  </si>
  <si>
    <t xml:space="preserve">Tambah User</t>
  </si>
  <si>
    <t xml:space="preserve">Kirim undangan</t>
  </si>
  <si>
    <t xml:space="preserve">Password default untuk pengguna baru adalah: edunexa</t>
  </si>
  <si>
    <t xml:space="preserve">Pengguna baru menerima tautan untuk membuat kata sandi sendiri.</t>
  </si>
  <si>
    <t xml:space="preserve">Hapus kata sandi bawaan yang sama untuk semua</t>
  </si>
  <si>
    <t xml:space="preserve">Cari Nama / Username</t>
  </si>
  <si>
    <t xml:space="preserve">Cari nama atau nama pengguna</t>
  </si>
  <si>
    <t xml:space="preserve">Cari Instansi</t>
  </si>
  <si>
    <t xml:space="preserve">Cari sekolah</t>
  </si>
  <si>
    <t xml:space="preserve">Pengguna dikelompokkan berdasarkan instansi.</t>
  </si>
  <si>
    <t xml:space="preserve">Dikelompokkan per sekolah.</t>
  </si>
  <si>
    <t xml:space="preserve">Sinkronkan Ulang Data</t>
  </si>
  <si>
    <t xml:space="preserve">Periksa kecocokan data</t>
  </si>
  <si>
    <t xml:space="preserve">Buka Semua</t>
  </si>
  <si>
    <t xml:space="preserve">Buka semua</t>
  </si>
  <si>
    <t xml:space="preserve">Tutup Semua</t>
  </si>
  <si>
    <t xml:space="preserve">Tutup semua</t>
  </si>
  <si>
    <t xml:space="preserve">Nama</t>
  </si>
  <si>
    <t xml:space="preserve">Memuat data pengguna...</t>
  </si>
  <si>
    <t xml:space="preserve">Memuat pengguna…</t>
  </si>
  <si>
    <t xml:space="preserve">Edit Akun</t>
  </si>
  <si>
    <t xml:space="preserve">Ubah akun</t>
  </si>
  <si>
    <t xml:space="preserve">Username yang diubah akan dimigrasikan ke seluruh data modul.</t>
  </si>
  <si>
    <t xml:space="preserve">Semua dokumen akun ini ikut memakai nama pengguna baru.</t>
  </si>
  <si>
    <t xml:space="preserve">Simpan Perubahan</t>
  </si>
  <si>
    <t xml:space="preserve">Simpan perubahan</t>
  </si>
  <si>
    <t xml:space="preserve">Data Akademik Instansi</t>
  </si>
  <si>
    <t xml:space="preserve">Mode pantau · hanya baca</t>
  </si>
  <si>
    <t xml:space="preserve">Hanya lihat</t>
  </si>
  <si>
    <t xml:space="preserve">Daftar Guru</t>
  </si>
  <si>
    <t xml:space="preserve">Guru</t>
  </si>
  <si>
    <t xml:space="preserve">Pilih Instansi</t>
  </si>
  <si>
    <t xml:space="preserve">-- Pilih Instansi --</t>
  </si>
  <si>
    <t xml:space="preserve">Pilih sekolah</t>
  </si>
  <si>
    <t xml:space="preserve">Pilih kategori, lalu pilih salah satu Guru untuk membuka rinciannya.</t>
  </si>
  <si>
    <t xml:space="preserve">Pilih kategori, lalu pilih guru untuk melihat rinciannya.</t>
  </si>
  <si>
    <t xml:space="preserve">Administrasi Kesiswaan</t>
  </si>
  <si>
    <t xml:space="preserve">Siswa, jadwal, piket, dan inventaris.</t>
  </si>
  <si>
    <t xml:space="preserve">Siswa, jadwal, piket, inventaris.</t>
  </si>
  <si>
    <t xml:space="preserve">Administrasi Harian</t>
  </si>
  <si>
    <t xml:space="preserve">Di Kelas</t>
  </si>
  <si>
    <t xml:space="preserve">Modul ajar, absensi, dan jurnal.</t>
  </si>
  <si>
    <t xml:space="preserve">RPM, absensi, jurnal.</t>
  </si>
  <si>
    <t xml:space="preserve">Administrasi Penilaian</t>
  </si>
  <si>
    <t xml:space="preserve">Formatif dan sumatif yang tersimpan.</t>
  </si>
  <si>
    <t xml:space="preserve">Nilai formatif dan sumatif.</t>
  </si>
  <si>
    <t xml:space="preserve">Administrasi Lain-lain</t>
  </si>
  <si>
    <t xml:space="preserve">Lainnya</t>
  </si>
  <si>
    <t xml:space="preserve">Keuangan, catatan, mutasi, inventaris.</t>
  </si>
  <si>
    <t xml:space="preserve">Keuangan, catatan, pindah siswa.</t>
  </si>
  <si>
    <t xml:space="preserve">Rencana Kenaikan</t>
  </si>
  <si>
    <t xml:space="preserve">Belum diperbarui</t>
  </si>
  <si>
    <t xml:space="preserve">Pilih sebuah Instansi</t>
  </si>
  <si>
    <t xml:space="preserve">Daftar pengguna dan statistik akademik akan ditampilkan setelah instansi dipilih.</t>
  </si>
  <si>
    <t xml:space="preserve">Data guru akan tampil setelah Anda memilih sekolah.</t>
  </si>
  <si>
    <t xml:space="preserve">Laporan Data Utama</t>
  </si>
  <si>
    <t xml:space="preserve">Laporan</t>
  </si>
  <si>
    <t xml:space="preserve">Ringkasan Utama</t>
  </si>
  <si>
    <t xml:space="preserve">Pusat Komunikasi</t>
  </si>
  <si>
    <t xml:space="preserve">Pesan</t>
  </si>
  <si>
    <t xml:space="preserve">Pesan dari Guru</t>
  </si>
  <si>
    <t xml:space="preserve">Pesan masuk</t>
  </si>
  <si>
    <t xml:space="preserve">Tutorial Edunexa — Panduan Interaktif</t>
  </si>
  <si>
    <t xml:space="preserve">Bantuan — Sigrak</t>
  </si>
  <si>
    <t xml:space="preserve">Langsung ke konten</t>
  </si>
  <si>
    <t xml:space="preserve">Langsung ke isi</t>
  </si>
  <si>
    <t xml:space="preserve">Panduan Interaktif</t>
  </si>
  <si>
    <t xml:space="preserve">Kembali ke Portal</t>
  </si>
  <si>
    <t xml:space="preserve">Kembali ke Sigrak</t>
  </si>
  <si>
    <t xml:space="preserve">☼ Mode Gelap</t>
  </si>
  <si>
    <t xml:space="preserve">Tema gelap</t>
  </si>
  <si>
    <t xml:space="preserve">Tanpa simbol</t>
  </si>
  <si>
    <t xml:space="preserve">Panduan Guru · Versi Interaktif</t>
  </si>
  <si>
    <t xml:space="preserve">Panduan guru</t>
  </si>
  <si>
    <t xml:space="preserve">📖Kata Pengantar</t>
  </si>
  <si>
    <t xml:space="preserve">Kata pengantar</t>
  </si>
  <si>
    <t xml:space="preserve">Tanpa emoji di semua menu</t>
  </si>
  <si>
    <t xml:space="preserve">✨Tentang Edunexa</t>
  </si>
  <si>
    <t xml:space="preserve">Tentang Sigrak</t>
  </si>
  <si>
    <t xml:space="preserve">🧩Penjelasan Fitur Utama</t>
  </si>
  <si>
    <t xml:space="preserve">Fitur utama</t>
  </si>
  <si>
    <t xml:space="preserve">✅Panduan Persiapan</t>
  </si>
  <si>
    <t xml:space="preserve">Sebelum mulai</t>
  </si>
  <si>
    <t xml:space="preserve">🗂Daftar Isi</t>
  </si>
  <si>
    <t xml:space="preserve">Daftar isi</t>
  </si>
  <si>
    <t xml:space="preserve">🔑A. Proses Login</t>
  </si>
  <si>
    <t xml:space="preserve">Masuk ke Sigrak</t>
  </si>
  <si>
    <t xml:space="preserve">👤B. Profil Guru &amp; API Key</t>
  </si>
  <si>
    <t xml:space="preserve">Profil dan kunci AI</t>
  </si>
  <si>
    <t xml:space="preserve">🖥C. Tampilan Portal</t>
  </si>
  <si>
    <t xml:space="preserve">Mengenal tampilan</t>
  </si>
  <si>
    <t xml:space="preserve">📋D. Menu Administrasi Guru</t>
  </si>
  <si>
    <t xml:space="preserve">Kelas Saya dan Di Kelas</t>
  </si>
  <si>
    <t xml:space="preserve">🧠E. Generator RPM</t>
  </si>
  <si>
    <t xml:space="preserve">Membuat RPM</t>
  </si>
  <si>
    <t xml:space="preserve">📝F. Bank Soal</t>
  </si>
  <si>
    <t xml:space="preserve">Membuat soal</t>
  </si>
  <si>
    <t xml:space="preserve">📊G. Menu Penilaian</t>
  </si>
  <si>
    <t xml:space="preserve">Asesmen dan rapor</t>
  </si>
  <si>
    <t xml:space="preserve">⚙H. Menu Pengaturan</t>
  </si>
  <si>
    <t xml:space="preserve">🔔I. Menu Pemberitahuan</t>
  </si>
  <si>
    <t xml:space="preserve">📲J. Lain-lain (Instalasi)</t>
  </si>
  <si>
    <t xml:space="preserve">Pasang di HP</t>
  </si>
  <si>
    <t xml:space="preserve">❓FAQ</t>
  </si>
  <si>
    <t xml:space="preserve">Pertanyaan umum</t>
  </si>
  <si>
    <t xml:space="preserve">🛠Troubleshooting</t>
  </si>
  <si>
    <t xml:space="preserve">Jika ada masalah</t>
  </si>
  <si>
    <t xml:space="preserve">Tutorial Penggunaan Aplikasi Edunexa</t>
  </si>
  <si>
    <t xml:space="preserve">Panduan memakai Sigrak</t>
  </si>
  <si>
    <t xml:space="preserve">Mulai Membaca</t>
  </si>
  <si>
    <t xml:space="preserve">Mulai</t>
  </si>
  <si>
    <t xml:space="preserve">Lihat Daftar Isi</t>
  </si>
  <si>
    <t xml:space="preserve">KATA PENGANTAR</t>
  </si>
  <si>
    <t xml:space="preserve">Judul bagian tanpa huruf kapital semua</t>
  </si>
  <si>
    <t xml:space="preserve">Tim Pengembang Edunexa</t>
  </si>
  <si>
    <t xml:space="preserve">TENTANG EDUNEXA</t>
  </si>
  <si>
    <t xml:space="preserve">PENJELASAN FITUR UTAMA</t>
  </si>
  <si>
    <t xml:space="preserve">API Key (Otak AI)</t>
  </si>
  <si>
    <t xml:space="preserve">Kunci AI</t>
  </si>
  <si>
    <t xml:space="preserve">PANDUAN PERSIAPAN SEBELUM MENGGUNAKAN APLIKASI</t>
  </si>
  <si>
    <t xml:space="preserve">B. Melengkapi profil Guru dan menanam API KEY sebagai otak AI</t>
  </si>
  <si>
    <t xml:space="preserve">Melengkapi profil dan menambahkan kunci AI</t>
  </si>
  <si>
    <t xml:space="preserve">C. MENGENAL TAMPILAN PORTAL EDUNEXA</t>
  </si>
  <si>
    <t xml:space="preserve">Mengenal tampilan Sigrak</t>
  </si>
  <si>
    <t xml:space="preserve">D. MENU ADMINISTRASI GURU</t>
  </si>
  <si>
    <t xml:space="preserve">F. BANK SOAL</t>
  </si>
  <si>
    <t xml:space="preserve">G. MENU PENILAIAN</t>
  </si>
  <si>
    <t xml:space="preserve">H. MENU PENGATURAN</t>
  </si>
  <si>
    <t xml:space="preserve">I. MENU PEMBERITAHUAN</t>
  </si>
  <si>
    <t xml:space="preserve">FAQ (PERTANYAAN YANG SERING DIAJUKAN)</t>
  </si>
  <si>
    <t xml:space="preserve">TROUBLESHOOTING (PEMECAHAN MASALAH)</t>
  </si>
  <si>
    <t xml:space="preserve">Generator RPM (Modul Ajar)</t>
  </si>
  <si>
    <t xml:space="preserve">SIMPAN dan MASUK</t>
  </si>
  <si>
    <t xml:space="preserve">Dasbord</t>
  </si>
  <si>
    <t xml:space="preserve">Salah ketik di tutorial lama</t>
  </si>
  <si>
    <t xml:space="preserve">simpan modul / bank modul</t>
  </si>
  <si>
    <t xml:space="preserve">Simpan / Dokumen Saya</t>
  </si>
  <si>
    <t xml:space="preserve">generate / klik generate worksheet</t>
  </si>
  <si>
    <t xml:space="preserve">Buat soal / Buat LKPD</t>
  </si>
  <si>
    <t xml:space="preserve">simpan lokal / simpan ke database</t>
  </si>
  <si>
    <t xml:space="preserve">Satu tombol simpan</t>
  </si>
  <si>
    <t xml:space="preserve">INPUT NILAI</t>
  </si>
  <si>
    <t xml:space="preserve">Isi nilai</t>
  </si>
  <si>
    <t xml:space="preserve">KONVERSI</t>
  </si>
  <si>
    <t xml:space="preserve">Olah nilai</t>
  </si>
  <si>
    <t xml:space="preserve">NILAI MAPEL</t>
  </si>
  <si>
    <t xml:space="preserve">Nilai per mata pelajaran</t>
  </si>
  <si>
    <t xml:space="preserve">REKAB NILAI</t>
  </si>
  <si>
    <t xml:space="preserve">Rekap nilai</t>
  </si>
  <si>
    <t xml:space="preserve">Salah ketik "Rekab"</t>
  </si>
  <si>
    <t xml:space="preserve">Input Nilai</t>
  </si>
  <si>
    <t xml:space="preserve">Simpan Nilai</t>
  </si>
  <si>
    <t xml:space="preserve">Simpan nilai</t>
  </si>
  <si>
    <t xml:space="preserve">KKTP</t>
  </si>
  <si>
    <t xml:space="preserve">jalankan konversi</t>
  </si>
  <si>
    <t xml:space="preserve">Simpan Permanen</t>
  </si>
  <si>
    <t xml:space="preserve">Kunci nilai</t>
  </si>
  <si>
    <t xml:space="preserve">Sebut akibatnya: nilai tidak bisa diubah lagi</t>
  </si>
  <si>
    <t xml:space="preserve">format ketercapaian</t>
  </si>
  <si>
    <t xml:space="preserve">Format capaian</t>
  </si>
  <si>
    <t xml:space="preserve">inject E-Rapor</t>
  </si>
  <si>
    <t xml:space="preserve">Ekspor ke e-Rapor</t>
  </si>
  <si>
    <t xml:space="preserve">open in app / install Aplikasi</t>
  </si>
  <si>
    <t xml:space="preserve">Masalah / Solusi</t>
  </si>
  <si>
    <t xml:space="preserve">Masalah / Cara mengatasi</t>
  </si>
  <si>
    <t xml:space="preserve">Istilah lama</t>
  </si>
  <si>
    <t xml:space="preserve">Istilah baku</t>
  </si>
  <si>
    <t xml:space="preserve">Tombol dan pesan</t>
  </si>
  <si>
    <t xml:space="preserve">Generate / GENERATE MODUL</t>
  </si>
  <si>
    <t xml:space="preserve">Buat (Buat RPM, Buat soal, Buat LKPD)</t>
  </si>
  <si>
    <t xml:space="preserve">Kata kerja yang dipakai guru</t>
  </si>
  <si>
    <t xml:space="preserve">Modul Ajar / Modul</t>
  </si>
  <si>
    <t xml:space="preserve">Satu nama untuk dokumen perencanaan</t>
  </si>
  <si>
    <t xml:space="preserve">Modul mandiri / Mode Manual</t>
  </si>
  <si>
    <t xml:space="preserve">Bank Modul / Arsip / Penyimpanan Lokal</t>
  </si>
  <si>
    <t xml:space="preserve">Satu tempat semua dokumen</t>
  </si>
  <si>
    <t xml:space="preserve">Istilah resmi kurikulum</t>
  </si>
  <si>
    <t xml:space="preserve">Bank Soal (menu)</t>
  </si>
  <si>
    <t xml:space="preserve">Buat Soal (di menu Asesmen)</t>
  </si>
  <si>
    <t xml:space="preserve">Penyimpanan soal tetap di Dokumen Saya</t>
  </si>
  <si>
    <t xml:space="preserve">Penilaian (menu)</t>
  </si>
  <si>
    <t xml:space="preserve">Kelas Saya (+ Di Kelas untuk absensi, jurnal, catatan)</t>
  </si>
  <si>
    <t xml:space="preserve">Pemberitahuan / Papan informasi siaran</t>
  </si>
  <si>
    <t xml:space="preserve">Dari sekolah ke guru</t>
  </si>
  <si>
    <t xml:space="preserve">Pemberitahuan (kepala sekolah ke guru)</t>
  </si>
  <si>
    <t xml:space="preserve">Pengingat</t>
  </si>
  <si>
    <t xml:space="preserve">Pengaturan / Pengaturan Portal</t>
  </si>
  <si>
    <t xml:space="preserve">Akun (pribadi) / Pengaturan Sekolah (sekolah)</t>
  </si>
  <si>
    <t xml:space="preserve">Dashboard / Dasbord</t>
  </si>
  <si>
    <t xml:space="preserve">Ringkasan (portal) / Hari Ini (guru)</t>
  </si>
  <si>
    <t xml:space="preserve">API Key / API Key Gemini</t>
  </si>
  <si>
    <t xml:space="preserve">Login / Masuk Portal</t>
  </si>
  <si>
    <t xml:space="preserve">Super Admin (untuk guru)</t>
  </si>
  <si>
    <t xml:space="preserve">Tim Sigrak / admin sekolah</t>
  </si>
  <si>
    <t xml:space="preserve">Sesuai siapa yang benar-benar memutuskan</t>
  </si>
  <si>
    <t xml:space="preserve">Role / Hak Akses</t>
  </si>
  <si>
    <t xml:space="preserve">Cloud / Firestore / Firebase / sinkronisasi</t>
  </si>
  <si>
    <t xml:space="preserve">server / tersimpan di akun</t>
  </si>
  <si>
    <t xml:space="preserve">Nama teknologi tidak ditampilkan</t>
  </si>
  <si>
    <t xml:space="preserve">Kembalikan / Atur ulang</t>
  </si>
  <si>
    <t xml:space="preserve">Timpa</t>
  </si>
  <si>
    <t xml:space="preserve">Presensi / Kehadiran / Daftar Hadir</t>
  </si>
  <si>
    <t xml:space="preserve">Mapel (di kalimat)</t>
  </si>
  <si>
    <t xml:space="preserve">Singkatan boleh di label sempit: guru mapel</t>
  </si>
  <si>
    <t xml:space="preserve">Mutasi siswa</t>
  </si>
  <si>
    <t xml:space="preserve">Kurikulum bawaan</t>
  </si>
  <si>
    <t xml:space="preserve">Ijin</t>
  </si>
  <si>
    <t xml:space="preserve">Izin</t>
  </si>
  <si>
    <t xml:space="preserve">Ejaan baku</t>
  </si>
  <si>
    <t xml:space="preserve">Gagal …</t>
  </si>
  <si>
    <t xml:space="preserve">… belum berhasil</t>
  </si>
  <si>
    <t xml:space="preserve">Lebih tenang; tetap jelas</t>
  </si>
  <si>
    <t xml:space="preserve">Ya, Hapus / Ya, Timpa</t>
  </si>
  <si>
    <t xml:space="preserve">Hapus [benda] / Ganti</t>
  </si>
  <si>
    <t xml:space="preserve">Huruf kapital semua (GENERATE, UPDATE TERSEDIA)</t>
  </si>
  <si>
    <t xml:space="preserve">Huruf kapital di awal saja</t>
  </si>
  <si>
    <t xml:space="preserve">Tanda seru (!)</t>
  </si>
  <si>
    <t xml:space="preserve">Titik</t>
  </si>
  <si>
    <t xml:space="preserve">Emoji (✅ ❌ 🎉)</t>
  </si>
  <si>
    <t xml:space="preserve">...</t>
  </si>
  <si>
    <t xml:space="preserve">…</t>
  </si>
  <si>
    <t xml:space="preserve">Elipsis satu karakter</t>
  </si>
  <si>
    <t xml:space="preserve">&amp;</t>
  </si>
  <si>
    <t xml:space="preserve">dan</t>
  </si>
  <si>
    <t xml:space="preserve">Di teks tampilan</t>
  </si>
  <si>
    <t xml:space="preserve">Jumlah teks</t>
  </si>
  <si>
    <t xml:space="preserve">Diubah</t>
  </si>
  <si>
    <t xml:space="preserve">Galat dan galat formulir</t>
  </si>
  <si>
    <t xml:space="preserve">Total</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</si>
</sst>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0F766E"/>
        <bgColor rgb="FF008080"/>
      </patternFill>
    </fill>
  </fills>
  <borders count="2">
    <border diagonalUp="false" diagonalDown="false">
      <left/>
      <right/>
      <top/>
      <bottom/>
      <diagonal/>
    </border>
    <border diagonalUp="false" diagonalDown="false">
      <left/>
      <right/>
      <top/>
      <bottom style="thin">
        <color rgb="FFE3E6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0F766E"/>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3E6E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Parafrase" displayName="Parafrase" ref="A1:H1500" headerRowCount="1" totalsRowCount="0" totalsRowShown="0">
  <autoFilter ref="A1:H1500"/>
  <tableColumns count="8">
    <tableColumn id="1" name="No"/>
    <tableColumn id="2" name="Halaman"/>
    <tableColumn id="3" name="Jenis teks"/>
    <tableColumn id="4" name="Teks lama"/>
    <tableColumn id="5" name="Teks baru"/>
    <tableColumn id="6" name="Catatan"/>
    <tableColumn id="7" name="Status"/>
    <tableColumn id="8" name="Sumber"/>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23.8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15" hidden="false" customHeight="false" outlineLevel="0" collapsed="false">
      <c r="A14"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6"/>
    <col collapsed="false" customWidth="true" hidden="false" outlineLevel="0" max="5" min="4" style="0" width="60"/>
    <col collapsed="false" customWidth="true" hidden="false" outlineLevel="0" max="6" min="6" style="0" width="44"/>
    <col collapsed="false" customWidth="true" hidden="false" outlineLevel="0" max="7" min="7" style="0" width="10"/>
    <col collapsed="false" customWidth="true" hidden="false" outlineLevel="0" max="8" min="8" style="0" width="22"/>
  </cols>
  <sheetData>
    <row r="1" customFormat="false" ht="15" hidden="false" customHeight="false" outlineLevel="0" collapsed="false">
      <c r="A1" s="4" t="s">
        <v>11</v>
      </c>
      <c r="B1" s="4" t="s">
        <v>12</v>
      </c>
      <c r="C1" s="4" t="s">
        <v>13</v>
      </c>
      <c r="D1" s="4" t="s">
        <v>14</v>
      </c>
      <c r="E1" s="4" t="s">
        <v>15</v>
      </c>
      <c r="F1" s="4" t="s">
        <v>16</v>
      </c>
      <c r="G1" s="4" t="s">
        <v>17</v>
      </c>
      <c r="H1" s="4" t="s">
        <v>18</v>
      </c>
    </row>
    <row r="2" customFormat="false" ht="23.85" hidden="false" customHeight="false" outlineLevel="0" collapsed="false">
      <c r="A2" s="5" t="n">
        <v>1</v>
      </c>
      <c r="B2" s="5" t="s">
        <v>19</v>
      </c>
      <c r="C2" s="5" t="s">
        <v>20</v>
      </c>
      <c r="D2" s="5" t="s">
        <v>21</v>
      </c>
      <c r="E2" s="5" t="s">
        <v>21</v>
      </c>
      <c r="F2" s="5" t="s">
        <v>22</v>
      </c>
      <c r="G2" s="5" t="str">
        <f aca="false">IF(EXACT(D2,E2),"Tetap","Diubah")</f>
        <v>Tetap</v>
      </c>
      <c r="H2" s="5" t="s">
        <v>23</v>
      </c>
    </row>
    <row r="3" customFormat="false" ht="15" hidden="false" customHeight="false" outlineLevel="0" collapsed="false">
      <c r="A3" s="5" t="n">
        <v>2</v>
      </c>
      <c r="B3" s="5" t="s">
        <v>19</v>
      </c>
      <c r="C3" s="5" t="s">
        <v>20</v>
      </c>
      <c r="D3" s="5" t="s">
        <v>24</v>
      </c>
      <c r="E3" s="5" t="s">
        <v>25</v>
      </c>
      <c r="F3" s="5" t="s">
        <v>26</v>
      </c>
      <c r="G3" s="5" t="str">
        <f aca="false">IF(EXACT(D3,E3),"Tetap","Diubah")</f>
        <v>Diubah</v>
      </c>
      <c r="H3" s="5" t="s">
        <v>23</v>
      </c>
    </row>
    <row r="4" customFormat="false" ht="15" hidden="false" customHeight="false" outlineLevel="0" collapsed="false">
      <c r="A4" s="5" t="n">
        <v>3</v>
      </c>
      <c r="B4" s="5" t="s">
        <v>19</v>
      </c>
      <c r="C4" s="5" t="s">
        <v>20</v>
      </c>
      <c r="D4" s="5" t="s">
        <v>27</v>
      </c>
      <c r="E4" s="5" t="s">
        <v>27</v>
      </c>
      <c r="F4" s="5" t="s">
        <v>28</v>
      </c>
      <c r="G4" s="5" t="str">
        <f aca="false">IF(EXACT(D4,E4),"Tetap","Diubah")</f>
        <v>Tetap</v>
      </c>
      <c r="H4" s="5" t="s">
        <v>23</v>
      </c>
    </row>
    <row r="5" customFormat="false" ht="15" hidden="false" customHeight="false" outlineLevel="0" collapsed="false">
      <c r="A5" s="5" t="n">
        <v>4</v>
      </c>
      <c r="B5" s="5" t="s">
        <v>19</v>
      </c>
      <c r="C5" s="5" t="s">
        <v>20</v>
      </c>
      <c r="D5" s="5" t="s">
        <v>29</v>
      </c>
      <c r="E5" s="5" t="s">
        <v>29</v>
      </c>
      <c r="F5" s="5" t="s">
        <v>28</v>
      </c>
      <c r="G5" s="5" t="str">
        <f aca="false">IF(EXACT(D5,E5),"Tetap","Diubah")</f>
        <v>Tetap</v>
      </c>
      <c r="H5" s="5" t="s">
        <v>23</v>
      </c>
    </row>
    <row r="6" customFormat="false" ht="15" hidden="false" customHeight="false" outlineLevel="0" collapsed="false">
      <c r="A6" s="5" t="n">
        <v>5</v>
      </c>
      <c r="B6" s="5" t="s">
        <v>19</v>
      </c>
      <c r="C6" s="5" t="s">
        <v>20</v>
      </c>
      <c r="D6" s="5" t="s">
        <v>30</v>
      </c>
      <c r="E6" s="5" t="s">
        <v>31</v>
      </c>
      <c r="F6" s="5" t="s">
        <v>32</v>
      </c>
      <c r="G6" s="5" t="str">
        <f aca="false">IF(EXACT(D6,E6),"Tetap","Diubah")</f>
        <v>Diubah</v>
      </c>
      <c r="H6" s="5" t="s">
        <v>23</v>
      </c>
    </row>
    <row r="7" customFormat="false" ht="23.85" hidden="false" customHeight="false" outlineLevel="0" collapsed="false">
      <c r="A7" s="5" t="n">
        <v>6</v>
      </c>
      <c r="B7" s="5" t="s">
        <v>19</v>
      </c>
      <c r="C7" s="5" t="s">
        <v>20</v>
      </c>
      <c r="D7" s="5" t="s">
        <v>33</v>
      </c>
      <c r="E7" s="5" t="s">
        <v>33</v>
      </c>
      <c r="F7" s="5" t="s">
        <v>34</v>
      </c>
      <c r="G7" s="5" t="str">
        <f aca="false">IF(EXACT(D7,E7),"Tetap","Diubah")</f>
        <v>Tetap</v>
      </c>
      <c r="H7" s="5" t="s">
        <v>23</v>
      </c>
    </row>
    <row r="8" customFormat="false" ht="15" hidden="false" customHeight="false" outlineLevel="0" collapsed="false">
      <c r="A8" s="5" t="n">
        <v>7</v>
      </c>
      <c r="B8" s="5" t="s">
        <v>19</v>
      </c>
      <c r="C8" s="5" t="s">
        <v>20</v>
      </c>
      <c r="D8" s="5" t="s">
        <v>35</v>
      </c>
      <c r="E8" s="5" t="s">
        <v>36</v>
      </c>
      <c r="F8" s="5" t="s">
        <v>37</v>
      </c>
      <c r="G8" s="5" t="str">
        <f aca="false">IF(EXACT(D8,E8),"Tetap","Diubah")</f>
        <v>Diubah</v>
      </c>
      <c r="H8" s="5" t="s">
        <v>23</v>
      </c>
    </row>
    <row r="9" customFormat="false" ht="15" hidden="false" customHeight="false" outlineLevel="0" collapsed="false">
      <c r="A9" s="5" t="n">
        <v>8</v>
      </c>
      <c r="B9" s="5" t="s">
        <v>19</v>
      </c>
      <c r="C9" s="5" t="s">
        <v>20</v>
      </c>
      <c r="D9" s="5" t="s">
        <v>38</v>
      </c>
      <c r="E9" s="5" t="s">
        <v>39</v>
      </c>
      <c r="F9" s="5"/>
      <c r="G9" s="5" t="str">
        <f aca="false">IF(EXACT(D9,E9),"Tetap","Diubah")</f>
        <v>Diubah</v>
      </c>
      <c r="H9" s="5" t="s">
        <v>23</v>
      </c>
    </row>
    <row r="10" customFormat="false" ht="15" hidden="false" customHeight="false" outlineLevel="0" collapsed="false">
      <c r="A10" s="5" t="n">
        <v>9</v>
      </c>
      <c r="B10" s="5" t="s">
        <v>19</v>
      </c>
      <c r="C10" s="5" t="s">
        <v>20</v>
      </c>
      <c r="D10" s="5" t="s">
        <v>40</v>
      </c>
      <c r="E10" s="5" t="s">
        <v>41</v>
      </c>
      <c r="F10" s="5"/>
      <c r="G10" s="5" t="str">
        <f aca="false">IF(EXACT(D10,E10),"Tetap","Diubah")</f>
        <v>Diubah</v>
      </c>
      <c r="H10" s="5" t="s">
        <v>23</v>
      </c>
    </row>
    <row r="11" customFormat="false" ht="15" hidden="false" customHeight="false" outlineLevel="0" collapsed="false">
      <c r="A11" s="5" t="n">
        <v>10</v>
      </c>
      <c r="B11" s="5" t="s">
        <v>19</v>
      </c>
      <c r="C11" s="5" t="s">
        <v>20</v>
      </c>
      <c r="D11" s="5" t="s">
        <v>42</v>
      </c>
      <c r="E11" s="5" t="s">
        <v>43</v>
      </c>
      <c r="F11" s="5" t="s">
        <v>44</v>
      </c>
      <c r="G11" s="5" t="str">
        <f aca="false">IF(EXACT(D11,E11),"Tetap","Diubah")</f>
        <v>Diubah</v>
      </c>
      <c r="H11" s="5" t="s">
        <v>23</v>
      </c>
    </row>
    <row r="12" customFormat="false" ht="15" hidden="false" customHeight="false" outlineLevel="0" collapsed="false">
      <c r="A12" s="5" t="n">
        <v>11</v>
      </c>
      <c r="B12" s="5" t="s">
        <v>19</v>
      </c>
      <c r="C12" s="5" t="s">
        <v>45</v>
      </c>
      <c r="D12" s="5" t="s">
        <v>46</v>
      </c>
      <c r="E12" s="5" t="s">
        <v>47</v>
      </c>
      <c r="F12" s="5" t="s">
        <v>48</v>
      </c>
      <c r="G12" s="5" t="str">
        <f aca="false">IF(EXACT(D12,E12),"Tetap","Diubah")</f>
        <v>Diubah</v>
      </c>
      <c r="H12" s="5" t="s">
        <v>23</v>
      </c>
    </row>
    <row r="13" customFormat="false" ht="15" hidden="false" customHeight="false" outlineLevel="0" collapsed="false">
      <c r="A13" s="5" t="n">
        <v>12</v>
      </c>
      <c r="B13" s="5" t="s">
        <v>19</v>
      </c>
      <c r="C13" s="5" t="s">
        <v>45</v>
      </c>
      <c r="D13" s="5" t="s">
        <v>49</v>
      </c>
      <c r="E13" s="5" t="s">
        <v>50</v>
      </c>
      <c r="F13" s="5"/>
      <c r="G13" s="5" t="str">
        <f aca="false">IF(EXACT(D13,E13),"Tetap","Diubah")</f>
        <v>Diubah</v>
      </c>
      <c r="H13" s="5" t="s">
        <v>23</v>
      </c>
    </row>
    <row r="14" customFormat="false" ht="15" hidden="false" customHeight="false" outlineLevel="0" collapsed="false">
      <c r="A14" s="5" t="n">
        <v>13</v>
      </c>
      <c r="B14" s="5" t="s">
        <v>19</v>
      </c>
      <c r="C14" s="5" t="s">
        <v>45</v>
      </c>
      <c r="D14" s="5" t="s">
        <v>51</v>
      </c>
      <c r="E14" s="5" t="s">
        <v>50</v>
      </c>
      <c r="F14" s="5"/>
      <c r="G14" s="5" t="str">
        <f aca="false">IF(EXACT(D14,E14),"Tetap","Diubah")</f>
        <v>Diubah</v>
      </c>
      <c r="H14" s="5" t="s">
        <v>23</v>
      </c>
    </row>
    <row r="15" customFormat="false" ht="15" hidden="false" customHeight="false" outlineLevel="0" collapsed="false">
      <c r="A15" s="5" t="n">
        <v>14</v>
      </c>
      <c r="B15" s="5" t="s">
        <v>19</v>
      </c>
      <c r="C15" s="5" t="s">
        <v>45</v>
      </c>
      <c r="D15" s="5" t="s">
        <v>52</v>
      </c>
      <c r="E15" s="5" t="s">
        <v>53</v>
      </c>
      <c r="F15" s="5"/>
      <c r="G15" s="5" t="str">
        <f aca="false">IF(EXACT(D15,E15),"Tetap","Diubah")</f>
        <v>Diubah</v>
      </c>
      <c r="H15" s="5" t="s">
        <v>23</v>
      </c>
    </row>
    <row r="16" customFormat="false" ht="23.85" hidden="false" customHeight="false" outlineLevel="0" collapsed="false">
      <c r="A16" s="5" t="n">
        <v>15</v>
      </c>
      <c r="B16" s="5" t="s">
        <v>19</v>
      </c>
      <c r="C16" s="5" t="s">
        <v>54</v>
      </c>
      <c r="D16" s="5" t="s">
        <v>55</v>
      </c>
      <c r="E16" s="5" t="s">
        <v>56</v>
      </c>
      <c r="F16" s="5" t="s">
        <v>57</v>
      </c>
      <c r="G16" s="5" t="str">
        <f aca="false">IF(EXACT(D16,E16),"Tetap","Diubah")</f>
        <v>Diubah</v>
      </c>
      <c r="H16" s="5" t="s">
        <v>23</v>
      </c>
    </row>
    <row r="17" customFormat="false" ht="15" hidden="false" customHeight="false" outlineLevel="0" collapsed="false">
      <c r="A17" s="5" t="n">
        <v>16</v>
      </c>
      <c r="B17" s="5" t="s">
        <v>19</v>
      </c>
      <c r="C17" s="5" t="s">
        <v>54</v>
      </c>
      <c r="D17" s="5" t="s">
        <v>58</v>
      </c>
      <c r="E17" s="5" t="s">
        <v>59</v>
      </c>
      <c r="F17" s="5"/>
      <c r="G17" s="5" t="str">
        <f aca="false">IF(EXACT(D17,E17),"Tetap","Diubah")</f>
        <v>Diubah</v>
      </c>
      <c r="H17" s="5" t="s">
        <v>23</v>
      </c>
    </row>
    <row r="18" customFormat="false" ht="23.85" hidden="false" customHeight="false" outlineLevel="0" collapsed="false">
      <c r="A18" s="5" t="n">
        <v>17</v>
      </c>
      <c r="B18" s="5" t="s">
        <v>19</v>
      </c>
      <c r="C18" s="5" t="s">
        <v>60</v>
      </c>
      <c r="D18" s="5" t="s">
        <v>61</v>
      </c>
      <c r="E18" s="5" t="s">
        <v>61</v>
      </c>
      <c r="F18" s="5" t="s">
        <v>62</v>
      </c>
      <c r="G18" s="5" t="str">
        <f aca="false">IF(EXACT(D18,E18),"Tetap","Diubah")</f>
        <v>Tetap</v>
      </c>
      <c r="H18" s="5" t="s">
        <v>23</v>
      </c>
    </row>
    <row r="19" customFormat="false" ht="15" hidden="false" customHeight="false" outlineLevel="0" collapsed="false">
      <c r="A19" s="5" t="n">
        <v>18</v>
      </c>
      <c r="B19" s="5" t="s">
        <v>19</v>
      </c>
      <c r="C19" s="5" t="s">
        <v>60</v>
      </c>
      <c r="D19" s="5" t="s">
        <v>63</v>
      </c>
      <c r="E19" s="5" t="s">
        <v>61</v>
      </c>
      <c r="F19" s="5"/>
      <c r="G19" s="5" t="str">
        <f aca="false">IF(EXACT(D19,E19),"Tetap","Diubah")</f>
        <v>Diubah</v>
      </c>
      <c r="H19" s="5" t="s">
        <v>23</v>
      </c>
    </row>
    <row r="20" customFormat="false" ht="15" hidden="false" customHeight="false" outlineLevel="0" collapsed="false">
      <c r="A20" s="5" t="n">
        <v>19</v>
      </c>
      <c r="B20" s="5" t="s">
        <v>19</v>
      </c>
      <c r="C20" s="5" t="s">
        <v>60</v>
      </c>
      <c r="D20" s="5" t="s">
        <v>11</v>
      </c>
      <c r="E20" s="5" t="s">
        <v>64</v>
      </c>
      <c r="F20" s="5"/>
      <c r="G20" s="5" t="str">
        <f aca="false">IF(EXACT(D20,E20),"Tetap","Diubah")</f>
        <v>Diubah</v>
      </c>
      <c r="H20" s="5" t="s">
        <v>23</v>
      </c>
    </row>
    <row r="21" customFormat="false" ht="15" hidden="false" customHeight="false" outlineLevel="0" collapsed="false">
      <c r="A21" s="5" t="n">
        <v>20</v>
      </c>
      <c r="B21" s="5" t="s">
        <v>19</v>
      </c>
      <c r="C21" s="5" t="s">
        <v>60</v>
      </c>
      <c r="D21" s="5" t="s">
        <v>65</v>
      </c>
      <c r="E21" s="5" t="s">
        <v>66</v>
      </c>
      <c r="F21" s="5"/>
      <c r="G21" s="5" t="str">
        <f aca="false">IF(EXACT(D21,E21),"Tetap","Diubah")</f>
        <v>Diubah</v>
      </c>
      <c r="H21" s="5" t="s">
        <v>23</v>
      </c>
    </row>
    <row r="22" customFormat="false" ht="15" hidden="false" customHeight="false" outlineLevel="0" collapsed="false">
      <c r="A22" s="5" t="n">
        <v>21</v>
      </c>
      <c r="B22" s="5" t="s">
        <v>19</v>
      </c>
      <c r="C22" s="5" t="s">
        <v>60</v>
      </c>
      <c r="D22" s="5" t="s">
        <v>67</v>
      </c>
      <c r="E22" s="5" t="s">
        <v>68</v>
      </c>
      <c r="F22" s="5"/>
      <c r="G22" s="5" t="str">
        <f aca="false">IF(EXACT(D22,E22),"Tetap","Diubah")</f>
        <v>Diubah</v>
      </c>
      <c r="H22" s="5" t="s">
        <v>23</v>
      </c>
    </row>
    <row r="23" customFormat="false" ht="15" hidden="false" customHeight="false" outlineLevel="0" collapsed="false">
      <c r="A23" s="5" t="n">
        <v>22</v>
      </c>
      <c r="B23" s="5" t="s">
        <v>19</v>
      </c>
      <c r="C23" s="5" t="s">
        <v>54</v>
      </c>
      <c r="D23" s="5" t="s">
        <v>69</v>
      </c>
      <c r="E23" s="5" t="s">
        <v>70</v>
      </c>
      <c r="F23" s="5"/>
      <c r="G23" s="5" t="str">
        <f aca="false">IF(EXACT(D23,E23),"Tetap","Diubah")</f>
        <v>Diubah</v>
      </c>
      <c r="H23" s="5" t="s">
        <v>23</v>
      </c>
    </row>
    <row r="24" customFormat="false" ht="15" hidden="false" customHeight="false" outlineLevel="0" collapsed="false">
      <c r="A24" s="5" t="n">
        <v>23</v>
      </c>
      <c r="B24" s="5" t="s">
        <v>19</v>
      </c>
      <c r="C24" s="5" t="s">
        <v>71</v>
      </c>
      <c r="D24" s="5" t="s">
        <v>72</v>
      </c>
      <c r="E24" s="5" t="s">
        <v>73</v>
      </c>
      <c r="F24" s="5" t="s">
        <v>74</v>
      </c>
      <c r="G24" s="5" t="str">
        <f aca="false">IF(EXACT(D24,E24),"Tetap","Diubah")</f>
        <v>Diubah</v>
      </c>
      <c r="H24" s="5" t="s">
        <v>23</v>
      </c>
    </row>
    <row r="25" customFormat="false" ht="23.85" hidden="false" customHeight="false" outlineLevel="0" collapsed="false">
      <c r="A25" s="5" t="n">
        <v>24</v>
      </c>
      <c r="B25" s="5" t="s">
        <v>19</v>
      </c>
      <c r="C25" s="5" t="s">
        <v>20</v>
      </c>
      <c r="D25" s="5" t="s">
        <v>75</v>
      </c>
      <c r="E25" s="5" t="s">
        <v>21</v>
      </c>
      <c r="F25" s="5" t="s">
        <v>76</v>
      </c>
      <c r="G25" s="5" t="str">
        <f aca="false">IF(EXACT(D25,E25),"Tetap","Diubah")</f>
        <v>Diubah</v>
      </c>
      <c r="H25" s="5" t="s">
        <v>23</v>
      </c>
    </row>
    <row r="26" customFormat="false" ht="15" hidden="false" customHeight="false" outlineLevel="0" collapsed="false">
      <c r="A26" s="5" t="n">
        <v>25</v>
      </c>
      <c r="B26" s="5" t="s">
        <v>19</v>
      </c>
      <c r="C26" s="5" t="s">
        <v>20</v>
      </c>
      <c r="D26" s="5" t="s">
        <v>77</v>
      </c>
      <c r="E26" s="5" t="s">
        <v>78</v>
      </c>
      <c r="F26" s="5"/>
      <c r="G26" s="5" t="str">
        <f aca="false">IF(EXACT(D26,E26),"Tetap","Diubah")</f>
        <v>Diubah</v>
      </c>
      <c r="H26" s="5" t="s">
        <v>23</v>
      </c>
    </row>
    <row r="27" customFormat="false" ht="15" hidden="false" customHeight="false" outlineLevel="0" collapsed="false">
      <c r="A27" s="5" t="n">
        <v>26</v>
      </c>
      <c r="B27" s="5" t="s">
        <v>19</v>
      </c>
      <c r="C27" s="5" t="s">
        <v>20</v>
      </c>
      <c r="D27" s="5" t="s">
        <v>79</v>
      </c>
      <c r="E27" s="5" t="s">
        <v>78</v>
      </c>
      <c r="F27" s="5" t="s">
        <v>80</v>
      </c>
      <c r="G27" s="5" t="str">
        <f aca="false">IF(EXACT(D27,E27),"Tetap","Diubah")</f>
        <v>Diubah</v>
      </c>
      <c r="H27" s="5" t="s">
        <v>23</v>
      </c>
    </row>
    <row r="28" customFormat="false" ht="15" hidden="false" customHeight="false" outlineLevel="0" collapsed="false">
      <c r="A28" s="5" t="n">
        <v>27</v>
      </c>
      <c r="B28" s="5" t="s">
        <v>19</v>
      </c>
      <c r="C28" s="5" t="s">
        <v>20</v>
      </c>
      <c r="D28" s="5" t="s">
        <v>81</v>
      </c>
      <c r="E28" s="5" t="s">
        <v>82</v>
      </c>
      <c r="F28" s="5"/>
      <c r="G28" s="5" t="str">
        <f aca="false">IF(EXACT(D28,E28),"Tetap","Diubah")</f>
        <v>Diubah</v>
      </c>
      <c r="H28" s="5" t="s">
        <v>23</v>
      </c>
    </row>
    <row r="29" customFormat="false" ht="15" hidden="false" customHeight="false" outlineLevel="0" collapsed="false">
      <c r="A29" s="5" t="n">
        <v>28</v>
      </c>
      <c r="B29" s="5" t="s">
        <v>19</v>
      </c>
      <c r="C29" s="5" t="s">
        <v>20</v>
      </c>
      <c r="D29" s="5" t="s">
        <v>83</v>
      </c>
      <c r="E29" s="5" t="s">
        <v>82</v>
      </c>
      <c r="F29" s="5"/>
      <c r="G29" s="5" t="str">
        <f aca="false">IF(EXACT(D29,E29),"Tetap","Diubah")</f>
        <v>Diubah</v>
      </c>
      <c r="H29" s="5" t="s">
        <v>23</v>
      </c>
    </row>
    <row r="30" customFormat="false" ht="15" hidden="false" customHeight="false" outlineLevel="0" collapsed="false">
      <c r="A30" s="5" t="n">
        <v>29</v>
      </c>
      <c r="B30" s="5" t="s">
        <v>19</v>
      </c>
      <c r="C30" s="5" t="s">
        <v>20</v>
      </c>
      <c r="D30" s="5" t="s">
        <v>84</v>
      </c>
      <c r="E30" s="5" t="s">
        <v>85</v>
      </c>
      <c r="F30" s="5" t="s">
        <v>86</v>
      </c>
      <c r="G30" s="5" t="str">
        <f aca="false">IF(EXACT(D30,E30),"Tetap","Diubah")</f>
        <v>Diubah</v>
      </c>
      <c r="H30" s="5" t="s">
        <v>23</v>
      </c>
    </row>
    <row r="31" customFormat="false" ht="15" hidden="false" customHeight="false" outlineLevel="0" collapsed="false">
      <c r="A31" s="5" t="n">
        <v>30</v>
      </c>
      <c r="B31" s="5" t="s">
        <v>19</v>
      </c>
      <c r="C31" s="5" t="s">
        <v>20</v>
      </c>
      <c r="D31" s="5" t="s">
        <v>87</v>
      </c>
      <c r="E31" s="5" t="s">
        <v>88</v>
      </c>
      <c r="F31" s="5" t="s">
        <v>89</v>
      </c>
      <c r="G31" s="5" t="str">
        <f aca="false">IF(EXACT(D31,E31),"Tetap","Diubah")</f>
        <v>Diubah</v>
      </c>
      <c r="H31" s="5" t="s">
        <v>23</v>
      </c>
    </row>
    <row r="32" customFormat="false" ht="15" hidden="false" customHeight="false" outlineLevel="0" collapsed="false">
      <c r="A32" s="5" t="n">
        <v>31</v>
      </c>
      <c r="B32" s="5" t="s">
        <v>19</v>
      </c>
      <c r="C32" s="5" t="s">
        <v>90</v>
      </c>
      <c r="D32" s="5" t="s">
        <v>91</v>
      </c>
      <c r="E32" s="5" t="s">
        <v>92</v>
      </c>
      <c r="F32" s="5" t="s">
        <v>93</v>
      </c>
      <c r="G32" s="5" t="str">
        <f aca="false">IF(EXACT(D32,E32),"Tetap","Diubah")</f>
        <v>Diubah</v>
      </c>
      <c r="H32" s="5" t="s">
        <v>23</v>
      </c>
    </row>
    <row r="33" customFormat="false" ht="15" hidden="false" customHeight="false" outlineLevel="0" collapsed="false">
      <c r="A33" s="5" t="n">
        <v>32</v>
      </c>
      <c r="B33" s="5" t="s">
        <v>19</v>
      </c>
      <c r="C33" s="5" t="s">
        <v>90</v>
      </c>
      <c r="D33" s="5" t="s">
        <v>94</v>
      </c>
      <c r="E33" s="5" t="s">
        <v>95</v>
      </c>
      <c r="F33" s="5"/>
      <c r="G33" s="5" t="str">
        <f aca="false">IF(EXACT(D33,E33),"Tetap","Diubah")</f>
        <v>Diubah</v>
      </c>
      <c r="H33" s="5" t="s">
        <v>23</v>
      </c>
    </row>
    <row r="34" customFormat="false" ht="15" hidden="false" customHeight="false" outlineLevel="0" collapsed="false">
      <c r="A34" s="5" t="n">
        <v>33</v>
      </c>
      <c r="B34" s="5" t="s">
        <v>19</v>
      </c>
      <c r="C34" s="5" t="s">
        <v>96</v>
      </c>
      <c r="D34" s="5" t="s">
        <v>97</v>
      </c>
      <c r="E34" s="5" t="s">
        <v>98</v>
      </c>
      <c r="F34" s="5" t="s">
        <v>99</v>
      </c>
      <c r="G34" s="5" t="str">
        <f aca="false">IF(EXACT(D34,E34),"Tetap","Diubah")</f>
        <v>Diubah</v>
      </c>
      <c r="H34" s="5" t="s">
        <v>23</v>
      </c>
    </row>
    <row r="35" customFormat="false" ht="15" hidden="false" customHeight="false" outlineLevel="0" collapsed="false">
      <c r="A35" s="5" t="n">
        <v>34</v>
      </c>
      <c r="B35" s="5" t="s">
        <v>19</v>
      </c>
      <c r="C35" s="5" t="s">
        <v>100</v>
      </c>
      <c r="D35" s="5" t="s">
        <v>101</v>
      </c>
      <c r="E35" s="5" t="s">
        <v>102</v>
      </c>
      <c r="F35" s="5"/>
      <c r="G35" s="5" t="str">
        <f aca="false">IF(EXACT(D35,E35),"Tetap","Diubah")</f>
        <v>Diubah</v>
      </c>
      <c r="H35" s="5" t="s">
        <v>23</v>
      </c>
    </row>
    <row r="36" customFormat="false" ht="15" hidden="false" customHeight="false" outlineLevel="0" collapsed="false">
      <c r="A36" s="5" t="n">
        <v>35</v>
      </c>
      <c r="B36" s="5" t="s">
        <v>19</v>
      </c>
      <c r="C36" s="5" t="s">
        <v>100</v>
      </c>
      <c r="D36" s="5" t="s">
        <v>103</v>
      </c>
      <c r="E36" s="5" t="s">
        <v>104</v>
      </c>
      <c r="F36" s="5"/>
      <c r="G36" s="5" t="str">
        <f aca="false">IF(EXACT(D36,E36),"Tetap","Diubah")</f>
        <v>Diubah</v>
      </c>
      <c r="H36" s="5" t="s">
        <v>23</v>
      </c>
    </row>
    <row r="37" customFormat="false" ht="15" hidden="false" customHeight="false" outlineLevel="0" collapsed="false">
      <c r="A37" s="5" t="n">
        <v>36</v>
      </c>
      <c r="B37" s="5" t="s">
        <v>19</v>
      </c>
      <c r="C37" s="5" t="s">
        <v>54</v>
      </c>
      <c r="D37" s="5" t="s">
        <v>105</v>
      </c>
      <c r="E37" s="5" t="s">
        <v>105</v>
      </c>
      <c r="F37" s="5" t="s">
        <v>106</v>
      </c>
      <c r="G37" s="5" t="str">
        <f aca="false">IF(EXACT(D37,E37),"Tetap","Diubah")</f>
        <v>Tetap</v>
      </c>
      <c r="H37" s="5" t="s">
        <v>23</v>
      </c>
    </row>
    <row r="38" customFormat="false" ht="15" hidden="false" customHeight="false" outlineLevel="0" collapsed="false">
      <c r="A38" s="5" t="n">
        <v>37</v>
      </c>
      <c r="B38" s="5" t="s">
        <v>19</v>
      </c>
      <c r="C38" s="5" t="s">
        <v>90</v>
      </c>
      <c r="D38" s="5" t="s">
        <v>107</v>
      </c>
      <c r="E38" s="5" t="s">
        <v>108</v>
      </c>
      <c r="F38" s="5" t="s">
        <v>109</v>
      </c>
      <c r="G38" s="5" t="str">
        <f aca="false">IF(EXACT(D38,E38),"Tetap","Diubah")</f>
        <v>Diubah</v>
      </c>
      <c r="H38" s="5" t="s">
        <v>23</v>
      </c>
    </row>
    <row r="39" customFormat="false" ht="15" hidden="false" customHeight="false" outlineLevel="0" collapsed="false">
      <c r="A39" s="5" t="n">
        <v>38</v>
      </c>
      <c r="B39" s="5" t="s">
        <v>19</v>
      </c>
      <c r="C39" s="5" t="s">
        <v>90</v>
      </c>
      <c r="D39" s="5" t="s">
        <v>110</v>
      </c>
      <c r="E39" s="5" t="s">
        <v>108</v>
      </c>
      <c r="F39" s="5" t="s">
        <v>111</v>
      </c>
      <c r="G39" s="5" t="str">
        <f aca="false">IF(EXACT(D39,E39),"Tetap","Diubah")</f>
        <v>Diubah</v>
      </c>
      <c r="H39" s="5" t="s">
        <v>23</v>
      </c>
    </row>
    <row r="40" customFormat="false" ht="15" hidden="false" customHeight="false" outlineLevel="0" collapsed="false">
      <c r="A40" s="5" t="n">
        <v>39</v>
      </c>
      <c r="B40" s="5" t="s">
        <v>19</v>
      </c>
      <c r="C40" s="5" t="s">
        <v>112</v>
      </c>
      <c r="D40" s="5" t="s">
        <v>113</v>
      </c>
      <c r="E40" s="5" t="s">
        <v>114</v>
      </c>
      <c r="F40" s="5"/>
      <c r="G40" s="5" t="str">
        <f aca="false">IF(EXACT(D40,E40),"Tetap","Diubah")</f>
        <v>Diubah</v>
      </c>
      <c r="H40" s="5" t="s">
        <v>23</v>
      </c>
    </row>
    <row r="41" customFormat="false" ht="15" hidden="false" customHeight="false" outlineLevel="0" collapsed="false">
      <c r="A41" s="5" t="n">
        <v>40</v>
      </c>
      <c r="B41" s="5" t="s">
        <v>19</v>
      </c>
      <c r="C41" s="5" t="s">
        <v>115</v>
      </c>
      <c r="D41" s="5" t="s">
        <v>116</v>
      </c>
      <c r="E41" s="5" t="s">
        <v>117</v>
      </c>
      <c r="F41" s="5"/>
      <c r="G41" s="5" t="str">
        <f aca="false">IF(EXACT(D41,E41),"Tetap","Diubah")</f>
        <v>Diubah</v>
      </c>
      <c r="H41" s="5" t="s">
        <v>23</v>
      </c>
    </row>
    <row r="42" customFormat="false" ht="15" hidden="false" customHeight="false" outlineLevel="0" collapsed="false">
      <c r="A42" s="5" t="n">
        <v>41</v>
      </c>
      <c r="B42" s="5" t="s">
        <v>19</v>
      </c>
      <c r="C42" s="5" t="s">
        <v>115</v>
      </c>
      <c r="D42" s="5" t="s">
        <v>118</v>
      </c>
      <c r="E42" s="5" t="s">
        <v>118</v>
      </c>
      <c r="F42" s="5" t="s">
        <v>28</v>
      </c>
      <c r="G42" s="5" t="str">
        <f aca="false">IF(EXACT(D42,E42),"Tetap","Diubah")</f>
        <v>Tetap</v>
      </c>
      <c r="H42" s="5" t="s">
        <v>23</v>
      </c>
    </row>
    <row r="43" customFormat="false" ht="15" hidden="false" customHeight="false" outlineLevel="0" collapsed="false">
      <c r="A43" s="5" t="n">
        <v>42</v>
      </c>
      <c r="B43" s="5" t="s">
        <v>19</v>
      </c>
      <c r="C43" s="5" t="s">
        <v>115</v>
      </c>
      <c r="D43" s="5" t="s">
        <v>119</v>
      </c>
      <c r="E43" s="5" t="s">
        <v>120</v>
      </c>
      <c r="F43" s="5" t="s">
        <v>121</v>
      </c>
      <c r="G43" s="5" t="str">
        <f aca="false">IF(EXACT(D43,E43),"Tetap","Diubah")</f>
        <v>Diubah</v>
      </c>
      <c r="H43" s="5" t="s">
        <v>23</v>
      </c>
    </row>
    <row r="44" customFormat="false" ht="15" hidden="false" customHeight="false" outlineLevel="0" collapsed="false">
      <c r="A44" s="5" t="n">
        <v>43</v>
      </c>
      <c r="B44" s="5" t="s">
        <v>19</v>
      </c>
      <c r="C44" s="5" t="s">
        <v>54</v>
      </c>
      <c r="D44" s="5" t="s">
        <v>122</v>
      </c>
      <c r="E44" s="5" t="s">
        <v>123</v>
      </c>
      <c r="F44" s="5"/>
      <c r="G44" s="5" t="str">
        <f aca="false">IF(EXACT(D44,E44),"Tetap","Diubah")</f>
        <v>Diubah</v>
      </c>
      <c r="H44" s="5" t="s">
        <v>23</v>
      </c>
    </row>
    <row r="45" customFormat="false" ht="15" hidden="false" customHeight="false" outlineLevel="0" collapsed="false">
      <c r="A45" s="5" t="n">
        <v>44</v>
      </c>
      <c r="B45" s="5" t="s">
        <v>19</v>
      </c>
      <c r="C45" s="5" t="s">
        <v>90</v>
      </c>
      <c r="D45" s="5" t="s">
        <v>124</v>
      </c>
      <c r="E45" s="5" t="s">
        <v>124</v>
      </c>
      <c r="F45" s="5" t="s">
        <v>28</v>
      </c>
      <c r="G45" s="5" t="str">
        <f aca="false">IF(EXACT(D45,E45),"Tetap","Diubah")</f>
        <v>Tetap</v>
      </c>
      <c r="H45" s="5" t="s">
        <v>23</v>
      </c>
    </row>
    <row r="46" customFormat="false" ht="15" hidden="false" customHeight="false" outlineLevel="0" collapsed="false">
      <c r="A46" s="5" t="n">
        <v>45</v>
      </c>
      <c r="B46" s="5" t="s">
        <v>19</v>
      </c>
      <c r="C46" s="5" t="s">
        <v>90</v>
      </c>
      <c r="D46" s="5" t="s">
        <v>125</v>
      </c>
      <c r="E46" s="5" t="s">
        <v>125</v>
      </c>
      <c r="F46" s="5" t="s">
        <v>126</v>
      </c>
      <c r="G46" s="5" t="str">
        <f aca="false">IF(EXACT(D46,E46),"Tetap","Diubah")</f>
        <v>Tetap</v>
      </c>
      <c r="H46" s="5" t="s">
        <v>23</v>
      </c>
    </row>
    <row r="47" customFormat="false" ht="15" hidden="false" customHeight="false" outlineLevel="0" collapsed="false">
      <c r="A47" s="5" t="n">
        <v>46</v>
      </c>
      <c r="B47" s="5" t="s">
        <v>19</v>
      </c>
      <c r="C47" s="5" t="s">
        <v>54</v>
      </c>
      <c r="D47" s="5" t="s">
        <v>127</v>
      </c>
      <c r="E47" s="5" t="s">
        <v>128</v>
      </c>
      <c r="F47" s="5" t="s">
        <v>129</v>
      </c>
      <c r="G47" s="5" t="str">
        <f aca="false">IF(EXACT(D47,E47),"Tetap","Diubah")</f>
        <v>Diubah</v>
      </c>
      <c r="H47" s="5" t="s">
        <v>23</v>
      </c>
    </row>
    <row r="48" customFormat="false" ht="23.85" hidden="false" customHeight="false" outlineLevel="0" collapsed="false">
      <c r="A48" s="5" t="n">
        <v>47</v>
      </c>
      <c r="B48" s="5" t="s">
        <v>19</v>
      </c>
      <c r="C48" s="5" t="s">
        <v>130</v>
      </c>
      <c r="D48" s="5" t="s">
        <v>131</v>
      </c>
      <c r="E48" s="5" t="s">
        <v>132</v>
      </c>
      <c r="F48" s="5"/>
      <c r="G48" s="5" t="str">
        <f aca="false">IF(EXACT(D48,E48),"Tetap","Diubah")</f>
        <v>Diubah</v>
      </c>
      <c r="H48" s="5" t="s">
        <v>23</v>
      </c>
    </row>
    <row r="49" customFormat="false" ht="15" hidden="false" customHeight="false" outlineLevel="0" collapsed="false">
      <c r="A49" s="5" t="n">
        <v>48</v>
      </c>
      <c r="B49" s="5" t="s">
        <v>19</v>
      </c>
      <c r="C49" s="5" t="s">
        <v>90</v>
      </c>
      <c r="D49" s="5" t="s">
        <v>133</v>
      </c>
      <c r="E49" s="5" t="s">
        <v>134</v>
      </c>
      <c r="F49" s="5" t="s">
        <v>135</v>
      </c>
      <c r="G49" s="5" t="str">
        <f aca="false">IF(EXACT(D49,E49),"Tetap","Diubah")</f>
        <v>Diubah</v>
      </c>
      <c r="H49" s="5" t="s">
        <v>23</v>
      </c>
    </row>
    <row r="50" customFormat="false" ht="15" hidden="false" customHeight="false" outlineLevel="0" collapsed="false">
      <c r="A50" s="5" t="n">
        <v>49</v>
      </c>
      <c r="B50" s="5" t="s">
        <v>19</v>
      </c>
      <c r="C50" s="5" t="s">
        <v>90</v>
      </c>
      <c r="D50" s="5" t="s">
        <v>136</v>
      </c>
      <c r="E50" s="5" t="s">
        <v>137</v>
      </c>
      <c r="F50" s="5"/>
      <c r="G50" s="5" t="str">
        <f aca="false">IF(EXACT(D50,E50),"Tetap","Diubah")</f>
        <v>Diubah</v>
      </c>
      <c r="H50" s="5" t="s">
        <v>23</v>
      </c>
    </row>
    <row r="51" customFormat="false" ht="15" hidden="false" customHeight="false" outlineLevel="0" collapsed="false">
      <c r="A51" s="5" t="n">
        <v>50</v>
      </c>
      <c r="B51" s="5" t="s">
        <v>19</v>
      </c>
      <c r="C51" s="5" t="s">
        <v>54</v>
      </c>
      <c r="D51" s="5" t="s">
        <v>138</v>
      </c>
      <c r="E51" s="5" t="s">
        <v>139</v>
      </c>
      <c r="F51" s="5"/>
      <c r="G51" s="5" t="str">
        <f aca="false">IF(EXACT(D51,E51),"Tetap","Diubah")</f>
        <v>Diubah</v>
      </c>
      <c r="H51" s="5" t="s">
        <v>23</v>
      </c>
    </row>
    <row r="52" customFormat="false" ht="15" hidden="false" customHeight="false" outlineLevel="0" collapsed="false">
      <c r="A52" s="5" t="n">
        <v>51</v>
      </c>
      <c r="B52" s="5" t="s">
        <v>19</v>
      </c>
      <c r="C52" s="5" t="s">
        <v>54</v>
      </c>
      <c r="D52" s="5" t="s">
        <v>140</v>
      </c>
      <c r="E52" s="5" t="s">
        <v>141</v>
      </c>
      <c r="F52" s="5"/>
      <c r="G52" s="5" t="str">
        <f aca="false">IF(EXACT(D52,E52),"Tetap","Diubah")</f>
        <v>Diubah</v>
      </c>
      <c r="H52" s="5" t="s">
        <v>23</v>
      </c>
    </row>
    <row r="53" customFormat="false" ht="15" hidden="false" customHeight="false" outlineLevel="0" collapsed="false">
      <c r="A53" s="5" t="n">
        <v>52</v>
      </c>
      <c r="B53" s="5" t="s">
        <v>19</v>
      </c>
      <c r="C53" s="5" t="s">
        <v>20</v>
      </c>
      <c r="D53" s="5" t="s">
        <v>142</v>
      </c>
      <c r="E53" s="5" t="s">
        <v>143</v>
      </c>
      <c r="F53" s="5"/>
      <c r="G53" s="5" t="str">
        <f aca="false">IF(EXACT(D53,E53),"Tetap","Diubah")</f>
        <v>Diubah</v>
      </c>
      <c r="H53" s="5" t="s">
        <v>23</v>
      </c>
    </row>
    <row r="54" customFormat="false" ht="15" hidden="false" customHeight="false" outlineLevel="0" collapsed="false">
      <c r="A54" s="5" t="n">
        <v>53</v>
      </c>
      <c r="B54" s="5" t="s">
        <v>19</v>
      </c>
      <c r="C54" s="5" t="s">
        <v>54</v>
      </c>
      <c r="D54" s="5" t="s">
        <v>144</v>
      </c>
      <c r="E54" s="5" t="s">
        <v>145</v>
      </c>
      <c r="F54" s="5" t="s">
        <v>146</v>
      </c>
      <c r="G54" s="5" t="str">
        <f aca="false">IF(EXACT(D54,E54),"Tetap","Diubah")</f>
        <v>Diubah</v>
      </c>
      <c r="H54" s="5" t="s">
        <v>23</v>
      </c>
    </row>
    <row r="55" customFormat="false" ht="15" hidden="false" customHeight="false" outlineLevel="0" collapsed="false">
      <c r="A55" s="5" t="n">
        <v>54</v>
      </c>
      <c r="B55" s="5" t="s">
        <v>19</v>
      </c>
      <c r="C55" s="5" t="s">
        <v>147</v>
      </c>
      <c r="D55" s="5" t="s">
        <v>148</v>
      </c>
      <c r="E55" s="5" t="s">
        <v>149</v>
      </c>
      <c r="F55" s="5" t="s">
        <v>150</v>
      </c>
      <c r="G55" s="5" t="str">
        <f aca="false">IF(EXACT(D55,E55),"Tetap","Diubah")</f>
        <v>Diubah</v>
      </c>
      <c r="H55" s="5" t="s">
        <v>23</v>
      </c>
    </row>
    <row r="56" customFormat="false" ht="15" hidden="false" customHeight="false" outlineLevel="0" collapsed="false">
      <c r="A56" s="5" t="n">
        <v>55</v>
      </c>
      <c r="B56" s="5" t="s">
        <v>19</v>
      </c>
      <c r="C56" s="5" t="s">
        <v>45</v>
      </c>
      <c r="D56" s="5" t="s">
        <v>151</v>
      </c>
      <c r="E56" s="5" t="s">
        <v>152</v>
      </c>
      <c r="F56" s="5"/>
      <c r="G56" s="5" t="str">
        <f aca="false">IF(EXACT(D56,E56),"Tetap","Diubah")</f>
        <v>Diubah</v>
      </c>
      <c r="H56" s="5" t="s">
        <v>23</v>
      </c>
    </row>
    <row r="57" customFormat="false" ht="15" hidden="false" customHeight="false" outlineLevel="0" collapsed="false">
      <c r="A57" s="5" t="n">
        <v>56</v>
      </c>
      <c r="B57" s="5" t="s">
        <v>19</v>
      </c>
      <c r="C57" s="5" t="s">
        <v>153</v>
      </c>
      <c r="D57" s="5" t="s">
        <v>154</v>
      </c>
      <c r="E57" s="5" t="s">
        <v>155</v>
      </c>
      <c r="F57" s="5"/>
      <c r="G57" s="5" t="str">
        <f aca="false">IF(EXACT(D57,E57),"Tetap","Diubah")</f>
        <v>Diubah</v>
      </c>
      <c r="H57" s="5" t="s">
        <v>23</v>
      </c>
    </row>
    <row r="58" customFormat="false" ht="15" hidden="false" customHeight="false" outlineLevel="0" collapsed="false">
      <c r="A58" s="5" t="n">
        <v>57</v>
      </c>
      <c r="B58" s="5" t="s">
        <v>19</v>
      </c>
      <c r="C58" s="5" t="s">
        <v>156</v>
      </c>
      <c r="D58" s="5" t="s">
        <v>157</v>
      </c>
      <c r="E58" s="5" t="s">
        <v>158</v>
      </c>
      <c r="F58" s="5"/>
      <c r="G58" s="5" t="str">
        <f aca="false">IF(EXACT(D58,E58),"Tetap","Diubah")</f>
        <v>Diubah</v>
      </c>
      <c r="H58" s="5" t="s">
        <v>23</v>
      </c>
    </row>
    <row r="59" customFormat="false" ht="15" hidden="false" customHeight="false" outlineLevel="0" collapsed="false">
      <c r="A59" s="5" t="n">
        <v>58</v>
      </c>
      <c r="B59" s="5" t="s">
        <v>19</v>
      </c>
      <c r="C59" s="5" t="s">
        <v>159</v>
      </c>
      <c r="D59" s="5" t="s">
        <v>160</v>
      </c>
      <c r="E59" s="5" t="s">
        <v>161</v>
      </c>
      <c r="F59" s="5" t="s">
        <v>162</v>
      </c>
      <c r="G59" s="5" t="str">
        <f aca="false">IF(EXACT(D59,E59),"Tetap","Diubah")</f>
        <v>Diubah</v>
      </c>
      <c r="H59" s="5" t="s">
        <v>23</v>
      </c>
    </row>
    <row r="60" customFormat="false" ht="23.85" hidden="false" customHeight="false" outlineLevel="0" collapsed="false">
      <c r="A60" s="5" t="n">
        <v>59</v>
      </c>
      <c r="B60" s="5" t="s">
        <v>19</v>
      </c>
      <c r="C60" s="5" t="s">
        <v>163</v>
      </c>
      <c r="D60" s="5" t="s">
        <v>164</v>
      </c>
      <c r="E60" s="5" t="s">
        <v>165</v>
      </c>
      <c r="F60" s="5" t="s">
        <v>166</v>
      </c>
      <c r="G60" s="5" t="str">
        <f aca="false">IF(EXACT(D60,E60),"Tetap","Diubah")</f>
        <v>Diubah</v>
      </c>
      <c r="H60" s="5" t="s">
        <v>167</v>
      </c>
    </row>
    <row r="61" customFormat="false" ht="23.85" hidden="false" customHeight="false" outlineLevel="0" collapsed="false">
      <c r="A61" s="5" t="n">
        <v>60</v>
      </c>
      <c r="B61" s="5" t="s">
        <v>19</v>
      </c>
      <c r="C61" s="5" t="s">
        <v>163</v>
      </c>
      <c r="D61" s="5" t="s">
        <v>168</v>
      </c>
      <c r="E61" s="5" t="s">
        <v>169</v>
      </c>
      <c r="F61" s="5"/>
      <c r="G61" s="5" t="str">
        <f aca="false">IF(EXACT(D61,E61),"Tetap","Diubah")</f>
        <v>Diubah</v>
      </c>
      <c r="H61" s="5" t="s">
        <v>167</v>
      </c>
    </row>
    <row r="62" customFormat="false" ht="23.85" hidden="false" customHeight="false" outlineLevel="0" collapsed="false">
      <c r="A62" s="5" t="n">
        <v>61</v>
      </c>
      <c r="B62" s="5" t="s">
        <v>19</v>
      </c>
      <c r="C62" s="5" t="s">
        <v>163</v>
      </c>
      <c r="D62" s="5" t="s">
        <v>170</v>
      </c>
      <c r="E62" s="5" t="s">
        <v>171</v>
      </c>
      <c r="F62" s="5"/>
      <c r="G62" s="5" t="str">
        <f aca="false">IF(EXACT(D62,E62),"Tetap","Diubah")</f>
        <v>Diubah</v>
      </c>
      <c r="H62" s="5" t="s">
        <v>167</v>
      </c>
    </row>
    <row r="63" customFormat="false" ht="23.85" hidden="false" customHeight="false" outlineLevel="0" collapsed="false">
      <c r="A63" s="5" t="n">
        <v>62</v>
      </c>
      <c r="B63" s="5" t="s">
        <v>19</v>
      </c>
      <c r="C63" s="5" t="s">
        <v>20</v>
      </c>
      <c r="D63" s="5" t="s">
        <v>172</v>
      </c>
      <c r="E63" s="5" t="s">
        <v>172</v>
      </c>
      <c r="F63" s="5" t="s">
        <v>173</v>
      </c>
      <c r="G63" s="5" t="str">
        <f aca="false">IF(EXACT(D63,E63),"Tetap","Diubah")</f>
        <v>Tetap</v>
      </c>
      <c r="H63" s="5" t="s">
        <v>167</v>
      </c>
    </row>
    <row r="64" customFormat="false" ht="23.85" hidden="false" customHeight="false" outlineLevel="0" collapsed="false">
      <c r="A64" s="5" t="n">
        <v>63</v>
      </c>
      <c r="B64" s="5" t="s">
        <v>19</v>
      </c>
      <c r="C64" s="5" t="s">
        <v>20</v>
      </c>
      <c r="D64" s="5" t="s">
        <v>174</v>
      </c>
      <c r="E64" s="5" t="s">
        <v>174</v>
      </c>
      <c r="F64" s="5" t="s">
        <v>28</v>
      </c>
      <c r="G64" s="5" t="str">
        <f aca="false">IF(EXACT(D64,E64),"Tetap","Diubah")</f>
        <v>Tetap</v>
      </c>
      <c r="H64" s="5" t="s">
        <v>167</v>
      </c>
    </row>
    <row r="65" customFormat="false" ht="23.85" hidden="false" customHeight="false" outlineLevel="0" collapsed="false">
      <c r="A65" s="5" t="n">
        <v>64</v>
      </c>
      <c r="B65" s="5" t="s">
        <v>19</v>
      </c>
      <c r="C65" s="5" t="s">
        <v>175</v>
      </c>
      <c r="D65" s="5" t="s">
        <v>176</v>
      </c>
      <c r="E65" s="5" t="s">
        <v>176</v>
      </c>
      <c r="F65" s="5" t="s">
        <v>28</v>
      </c>
      <c r="G65" s="5" t="str">
        <f aca="false">IF(EXACT(D65,E65),"Tetap","Diubah")</f>
        <v>Tetap</v>
      </c>
      <c r="H65" s="5" t="s">
        <v>167</v>
      </c>
    </row>
    <row r="66" customFormat="false" ht="23.85" hidden="false" customHeight="false" outlineLevel="0" collapsed="false">
      <c r="A66" s="5" t="n">
        <v>65</v>
      </c>
      <c r="B66" s="5" t="s">
        <v>19</v>
      </c>
      <c r="C66" s="5" t="s">
        <v>163</v>
      </c>
      <c r="D66" s="5" t="s">
        <v>177</v>
      </c>
      <c r="E66" s="5" t="s">
        <v>178</v>
      </c>
      <c r="F66" s="5"/>
      <c r="G66" s="5" t="str">
        <f aca="false">IF(EXACT(D66,E66),"Tetap","Diubah")</f>
        <v>Diubah</v>
      </c>
      <c r="H66" s="5" t="s">
        <v>167</v>
      </c>
    </row>
    <row r="67" customFormat="false" ht="23.85" hidden="false" customHeight="false" outlineLevel="0" collapsed="false">
      <c r="A67" s="5" t="n">
        <v>66</v>
      </c>
      <c r="B67" s="5" t="s">
        <v>19</v>
      </c>
      <c r="C67" s="5" t="s">
        <v>20</v>
      </c>
      <c r="D67" s="5" t="s">
        <v>179</v>
      </c>
      <c r="E67" s="5" t="s">
        <v>179</v>
      </c>
      <c r="F67" s="5" t="s">
        <v>28</v>
      </c>
      <c r="G67" s="5" t="str">
        <f aca="false">IF(EXACT(D67,E67),"Tetap","Diubah")</f>
        <v>Tetap</v>
      </c>
      <c r="H67" s="5" t="s">
        <v>167</v>
      </c>
    </row>
    <row r="68" customFormat="false" ht="23.85" hidden="false" customHeight="false" outlineLevel="0" collapsed="false">
      <c r="A68" s="5" t="n">
        <v>67</v>
      </c>
      <c r="B68" s="5" t="s">
        <v>19</v>
      </c>
      <c r="C68" s="5" t="s">
        <v>20</v>
      </c>
      <c r="D68" s="5" t="s">
        <v>180</v>
      </c>
      <c r="E68" s="5" t="s">
        <v>33</v>
      </c>
      <c r="F68" s="5" t="s">
        <v>181</v>
      </c>
      <c r="G68" s="5" t="str">
        <f aca="false">IF(EXACT(D68,E68),"Tetap","Diubah")</f>
        <v>Diubah</v>
      </c>
      <c r="H68" s="5" t="s">
        <v>167</v>
      </c>
    </row>
    <row r="69" customFormat="false" ht="23.85" hidden="false" customHeight="false" outlineLevel="0" collapsed="false">
      <c r="A69" s="5" t="n">
        <v>68</v>
      </c>
      <c r="B69" s="5" t="s">
        <v>19</v>
      </c>
      <c r="C69" s="5" t="s">
        <v>153</v>
      </c>
      <c r="D69" s="5" t="s">
        <v>182</v>
      </c>
      <c r="E69" s="5" t="s">
        <v>183</v>
      </c>
      <c r="F69" s="5"/>
      <c r="G69" s="5" t="str">
        <f aca="false">IF(EXACT(D69,E69),"Tetap","Diubah")</f>
        <v>Diubah</v>
      </c>
      <c r="H69" s="5" t="s">
        <v>167</v>
      </c>
    </row>
    <row r="70" customFormat="false" ht="23.85" hidden="false" customHeight="false" outlineLevel="0" collapsed="false">
      <c r="A70" s="5" t="n">
        <v>69</v>
      </c>
      <c r="B70" s="5" t="s">
        <v>19</v>
      </c>
      <c r="C70" s="5" t="s">
        <v>54</v>
      </c>
      <c r="D70" s="5" t="s">
        <v>184</v>
      </c>
      <c r="E70" s="5" t="s">
        <v>185</v>
      </c>
      <c r="F70" s="5"/>
      <c r="G70" s="5" t="str">
        <f aca="false">IF(EXACT(D70,E70),"Tetap","Diubah")</f>
        <v>Diubah</v>
      </c>
      <c r="H70" s="5" t="s">
        <v>167</v>
      </c>
    </row>
    <row r="71" customFormat="false" ht="23.85" hidden="false" customHeight="false" outlineLevel="0" collapsed="false">
      <c r="A71" s="5" t="n">
        <v>70</v>
      </c>
      <c r="B71" s="5" t="s">
        <v>19</v>
      </c>
      <c r="C71" s="5" t="s">
        <v>20</v>
      </c>
      <c r="D71" s="5" t="s">
        <v>186</v>
      </c>
      <c r="E71" s="5" t="s">
        <v>187</v>
      </c>
      <c r="F71" s="5"/>
      <c r="G71" s="5" t="str">
        <f aca="false">IF(EXACT(D71,E71),"Tetap","Diubah")</f>
        <v>Diubah</v>
      </c>
      <c r="H71" s="5" t="s">
        <v>167</v>
      </c>
    </row>
    <row r="72" customFormat="false" ht="15" hidden="false" customHeight="false" outlineLevel="0" collapsed="false">
      <c r="A72" s="5" t="n">
        <v>71</v>
      </c>
      <c r="B72" s="5" t="s">
        <v>188</v>
      </c>
      <c r="C72" s="5" t="s">
        <v>159</v>
      </c>
      <c r="D72" s="5" t="s">
        <v>189</v>
      </c>
      <c r="E72" s="5" t="s">
        <v>190</v>
      </c>
      <c r="F72" s="5" t="s">
        <v>191</v>
      </c>
      <c r="G72" s="5" t="str">
        <f aca="false">IF(EXACT(D72,E72),"Tetap","Diubah")</f>
        <v>Diubah</v>
      </c>
      <c r="H72" s="5" t="s">
        <v>23</v>
      </c>
    </row>
    <row r="73" customFormat="false" ht="15" hidden="false" customHeight="false" outlineLevel="0" collapsed="false">
      <c r="A73" s="5" t="n">
        <v>72</v>
      </c>
      <c r="B73" s="5" t="s">
        <v>188</v>
      </c>
      <c r="C73" s="5" t="s">
        <v>54</v>
      </c>
      <c r="D73" s="5" t="s">
        <v>192</v>
      </c>
      <c r="E73" s="5" t="s">
        <v>193</v>
      </c>
      <c r="F73" s="5"/>
      <c r="G73" s="5" t="str">
        <f aca="false">IF(EXACT(D73,E73),"Tetap","Diubah")</f>
        <v>Diubah</v>
      </c>
      <c r="H73" s="5" t="s">
        <v>23</v>
      </c>
    </row>
    <row r="74" customFormat="false" ht="15" hidden="false" customHeight="false" outlineLevel="0" collapsed="false">
      <c r="A74" s="5" t="n">
        <v>73</v>
      </c>
      <c r="B74" s="5" t="s">
        <v>188</v>
      </c>
      <c r="C74" s="5" t="s">
        <v>54</v>
      </c>
      <c r="D74" s="5" t="s">
        <v>194</v>
      </c>
      <c r="E74" s="5" t="s">
        <v>195</v>
      </c>
      <c r="F74" s="5" t="s">
        <v>196</v>
      </c>
      <c r="G74" s="5" t="str">
        <f aca="false">IF(EXACT(D74,E74),"Tetap","Diubah")</f>
        <v>Diubah</v>
      </c>
      <c r="H74" s="5" t="s">
        <v>23</v>
      </c>
    </row>
    <row r="75" customFormat="false" ht="15" hidden="false" customHeight="false" outlineLevel="0" collapsed="false">
      <c r="A75" s="5" t="n">
        <v>74</v>
      </c>
      <c r="B75" s="5" t="s">
        <v>188</v>
      </c>
      <c r="C75" s="5" t="s">
        <v>54</v>
      </c>
      <c r="D75" s="5" t="s">
        <v>119</v>
      </c>
      <c r="E75" s="5" t="s">
        <v>120</v>
      </c>
      <c r="F75" s="5"/>
      <c r="G75" s="5" t="str">
        <f aca="false">IF(EXACT(D75,E75),"Tetap","Diubah")</f>
        <v>Diubah</v>
      </c>
      <c r="H75" s="5" t="s">
        <v>23</v>
      </c>
    </row>
    <row r="76" customFormat="false" ht="15" hidden="false" customHeight="false" outlineLevel="0" collapsed="false">
      <c r="A76" s="5" t="n">
        <v>75</v>
      </c>
      <c r="B76" s="5" t="s">
        <v>188</v>
      </c>
      <c r="C76" s="5" t="s">
        <v>45</v>
      </c>
      <c r="D76" s="5" t="s">
        <v>197</v>
      </c>
      <c r="E76" s="5" t="s">
        <v>198</v>
      </c>
      <c r="F76" s="5"/>
      <c r="G76" s="5" t="str">
        <f aca="false">IF(EXACT(D76,E76),"Tetap","Diubah")</f>
        <v>Diubah</v>
      </c>
      <c r="H76" s="5" t="s">
        <v>23</v>
      </c>
    </row>
    <row r="77" customFormat="false" ht="15" hidden="false" customHeight="false" outlineLevel="0" collapsed="false">
      <c r="A77" s="5" t="n">
        <v>76</v>
      </c>
      <c r="B77" s="5" t="s">
        <v>188</v>
      </c>
      <c r="C77" s="5" t="s">
        <v>54</v>
      </c>
      <c r="D77" s="5" t="s">
        <v>199</v>
      </c>
      <c r="E77" s="5" t="s">
        <v>200</v>
      </c>
      <c r="F77" s="5"/>
      <c r="G77" s="5" t="str">
        <f aca="false">IF(EXACT(D77,E77),"Tetap","Diubah")</f>
        <v>Diubah</v>
      </c>
      <c r="H77" s="5" t="s">
        <v>23</v>
      </c>
    </row>
    <row r="78" customFormat="false" ht="15" hidden="false" customHeight="false" outlineLevel="0" collapsed="false">
      <c r="A78" s="5" t="n">
        <v>77</v>
      </c>
      <c r="B78" s="5" t="s">
        <v>188</v>
      </c>
      <c r="C78" s="5" t="s">
        <v>100</v>
      </c>
      <c r="D78" s="5" t="s">
        <v>201</v>
      </c>
      <c r="E78" s="5" t="s">
        <v>202</v>
      </c>
      <c r="F78" s="5"/>
      <c r="G78" s="5" t="str">
        <f aca="false">IF(EXACT(D78,E78),"Tetap","Diubah")</f>
        <v>Diubah</v>
      </c>
      <c r="H78" s="5" t="s">
        <v>23</v>
      </c>
    </row>
    <row r="79" customFormat="false" ht="15" hidden="false" customHeight="false" outlineLevel="0" collapsed="false">
      <c r="A79" s="5" t="n">
        <v>78</v>
      </c>
      <c r="B79" s="5" t="s">
        <v>188</v>
      </c>
      <c r="C79" s="5" t="s">
        <v>20</v>
      </c>
      <c r="D79" s="5" t="s">
        <v>203</v>
      </c>
      <c r="E79" s="5" t="s">
        <v>204</v>
      </c>
      <c r="F79" s="5"/>
      <c r="G79" s="5" t="str">
        <f aca="false">IF(EXACT(D79,E79),"Tetap","Diubah")</f>
        <v>Diubah</v>
      </c>
      <c r="H79" s="5" t="s">
        <v>23</v>
      </c>
    </row>
    <row r="80" customFormat="false" ht="15" hidden="false" customHeight="false" outlineLevel="0" collapsed="false">
      <c r="A80" s="5" t="n">
        <v>79</v>
      </c>
      <c r="B80" s="5" t="s">
        <v>188</v>
      </c>
      <c r="C80" s="5" t="s">
        <v>153</v>
      </c>
      <c r="D80" s="5" t="s">
        <v>205</v>
      </c>
      <c r="E80" s="5" t="s">
        <v>206</v>
      </c>
      <c r="F80" s="5"/>
      <c r="G80" s="5" t="str">
        <f aca="false">IF(EXACT(D80,E80),"Tetap","Diubah")</f>
        <v>Diubah</v>
      </c>
      <c r="H80" s="5" t="s">
        <v>23</v>
      </c>
    </row>
    <row r="81" customFormat="false" ht="15" hidden="false" customHeight="false" outlineLevel="0" collapsed="false">
      <c r="A81" s="5" t="n">
        <v>80</v>
      </c>
      <c r="B81" s="5" t="s">
        <v>188</v>
      </c>
      <c r="C81" s="5" t="s">
        <v>130</v>
      </c>
      <c r="D81" s="5" t="s">
        <v>207</v>
      </c>
      <c r="E81" s="5" t="s">
        <v>208</v>
      </c>
      <c r="F81" s="5"/>
      <c r="G81" s="5" t="str">
        <f aca="false">IF(EXACT(D81,E81),"Tetap","Diubah")</f>
        <v>Diubah</v>
      </c>
      <c r="H81" s="5" t="s">
        <v>23</v>
      </c>
    </row>
    <row r="82" customFormat="false" ht="15" hidden="false" customHeight="false" outlineLevel="0" collapsed="false">
      <c r="A82" s="5" t="n">
        <v>81</v>
      </c>
      <c r="B82" s="5" t="s">
        <v>188</v>
      </c>
      <c r="C82" s="5" t="s">
        <v>45</v>
      </c>
      <c r="D82" s="5" t="s">
        <v>209</v>
      </c>
      <c r="E82" s="5" t="s">
        <v>210</v>
      </c>
      <c r="F82" s="5"/>
      <c r="G82" s="5" t="str">
        <f aca="false">IF(EXACT(D82,E82),"Tetap","Diubah")</f>
        <v>Diubah</v>
      </c>
      <c r="H82" s="5" t="s">
        <v>23</v>
      </c>
    </row>
    <row r="83" customFormat="false" ht="15" hidden="false" customHeight="false" outlineLevel="0" collapsed="false">
      <c r="A83" s="5" t="n">
        <v>82</v>
      </c>
      <c r="B83" s="5" t="s">
        <v>188</v>
      </c>
      <c r="C83" s="5" t="s">
        <v>71</v>
      </c>
      <c r="D83" s="5" t="s">
        <v>211</v>
      </c>
      <c r="E83" s="5" t="s">
        <v>212</v>
      </c>
      <c r="F83" s="5" t="s">
        <v>213</v>
      </c>
      <c r="G83" s="5" t="str">
        <f aca="false">IF(EXACT(D83,E83),"Tetap","Diubah")</f>
        <v>Diubah</v>
      </c>
      <c r="H83" s="5" t="s">
        <v>23</v>
      </c>
    </row>
    <row r="84" customFormat="false" ht="15" hidden="false" customHeight="false" outlineLevel="0" collapsed="false">
      <c r="A84" s="5" t="n">
        <v>83</v>
      </c>
      <c r="B84" s="5" t="s">
        <v>188</v>
      </c>
      <c r="C84" s="5" t="s">
        <v>20</v>
      </c>
      <c r="D84" s="5" t="s">
        <v>214</v>
      </c>
      <c r="E84" s="5" t="s">
        <v>215</v>
      </c>
      <c r="F84" s="5"/>
      <c r="G84" s="5" t="str">
        <f aca="false">IF(EXACT(D84,E84),"Tetap","Diubah")</f>
        <v>Diubah</v>
      </c>
      <c r="H84" s="5" t="s">
        <v>23</v>
      </c>
    </row>
    <row r="85" customFormat="false" ht="15" hidden="false" customHeight="false" outlineLevel="0" collapsed="false">
      <c r="A85" s="5" t="n">
        <v>84</v>
      </c>
      <c r="B85" s="5" t="s">
        <v>188</v>
      </c>
      <c r="C85" s="5" t="s">
        <v>159</v>
      </c>
      <c r="D85" s="5" t="s">
        <v>216</v>
      </c>
      <c r="E85" s="5" t="s">
        <v>217</v>
      </c>
      <c r="F85" s="5" t="s">
        <v>218</v>
      </c>
      <c r="G85" s="5" t="str">
        <f aca="false">IF(EXACT(D85,E85),"Tetap","Diubah")</f>
        <v>Diubah</v>
      </c>
      <c r="H85" s="5" t="s">
        <v>23</v>
      </c>
    </row>
    <row r="86" customFormat="false" ht="23.85" hidden="false" customHeight="false" outlineLevel="0" collapsed="false">
      <c r="A86" s="5" t="n">
        <v>85</v>
      </c>
      <c r="B86" s="5" t="s">
        <v>188</v>
      </c>
      <c r="C86" s="5" t="s">
        <v>130</v>
      </c>
      <c r="D86" s="5" t="s">
        <v>219</v>
      </c>
      <c r="E86" s="5" t="s">
        <v>220</v>
      </c>
      <c r="F86" s="5"/>
      <c r="G86" s="5" t="str">
        <f aca="false">IF(EXACT(D86,E86),"Tetap","Diubah")</f>
        <v>Diubah</v>
      </c>
      <c r="H86" s="5" t="s">
        <v>23</v>
      </c>
    </row>
    <row r="87" customFormat="false" ht="15" hidden="false" customHeight="false" outlineLevel="0" collapsed="false">
      <c r="A87" s="5" t="n">
        <v>86</v>
      </c>
      <c r="B87" s="5" t="s">
        <v>188</v>
      </c>
      <c r="C87" s="5" t="s">
        <v>221</v>
      </c>
      <c r="D87" s="5" t="s">
        <v>222</v>
      </c>
      <c r="E87" s="5" t="s">
        <v>195</v>
      </c>
      <c r="F87" s="5"/>
      <c r="G87" s="5" t="str">
        <f aca="false">IF(EXACT(D87,E87),"Tetap","Diubah")</f>
        <v>Diubah</v>
      </c>
      <c r="H87" s="5" t="s">
        <v>23</v>
      </c>
    </row>
    <row r="88" customFormat="false" ht="15" hidden="false" customHeight="false" outlineLevel="0" collapsed="false">
      <c r="A88" s="5" t="n">
        <v>87</v>
      </c>
      <c r="B88" s="5" t="s">
        <v>188</v>
      </c>
      <c r="C88" s="5" t="s">
        <v>54</v>
      </c>
      <c r="D88" s="5" t="s">
        <v>223</v>
      </c>
      <c r="E88" s="5" t="s">
        <v>224</v>
      </c>
      <c r="F88" s="5" t="s">
        <v>225</v>
      </c>
      <c r="G88" s="5" t="str">
        <f aca="false">IF(EXACT(D88,E88),"Tetap","Diubah")</f>
        <v>Diubah</v>
      </c>
      <c r="H88" s="5" t="s">
        <v>23</v>
      </c>
    </row>
    <row r="89" customFormat="false" ht="15" hidden="false" customHeight="false" outlineLevel="0" collapsed="false">
      <c r="A89" s="5" t="n">
        <v>88</v>
      </c>
      <c r="B89" s="5" t="s">
        <v>188</v>
      </c>
      <c r="C89" s="5" t="s">
        <v>147</v>
      </c>
      <c r="D89" s="5" t="s">
        <v>226</v>
      </c>
      <c r="E89" s="5" t="s">
        <v>149</v>
      </c>
      <c r="F89" s="5"/>
      <c r="G89" s="5" t="str">
        <f aca="false">IF(EXACT(D89,E89),"Tetap","Diubah")</f>
        <v>Diubah</v>
      </c>
      <c r="H89" s="5" t="s">
        <v>23</v>
      </c>
    </row>
    <row r="90" customFormat="false" ht="15" hidden="false" customHeight="false" outlineLevel="0" collapsed="false">
      <c r="A90" s="5" t="n">
        <v>89</v>
      </c>
      <c r="B90" s="5" t="s">
        <v>188</v>
      </c>
      <c r="C90" s="5" t="s">
        <v>227</v>
      </c>
      <c r="D90" s="5" t="s">
        <v>228</v>
      </c>
      <c r="E90" s="5" t="s">
        <v>229</v>
      </c>
      <c r="F90" s="5"/>
      <c r="G90" s="5" t="str">
        <f aca="false">IF(EXACT(D90,E90),"Tetap","Diubah")</f>
        <v>Diubah</v>
      </c>
      <c r="H90" s="5" t="s">
        <v>23</v>
      </c>
    </row>
    <row r="91" customFormat="false" ht="15" hidden="false" customHeight="false" outlineLevel="0" collapsed="false">
      <c r="A91" s="5" t="n">
        <v>90</v>
      </c>
      <c r="B91" s="5" t="s">
        <v>188</v>
      </c>
      <c r="C91" s="5" t="s">
        <v>54</v>
      </c>
      <c r="D91" s="5" t="s">
        <v>230</v>
      </c>
      <c r="E91" s="5" t="s">
        <v>231</v>
      </c>
      <c r="F91" s="5"/>
      <c r="G91" s="5" t="str">
        <f aca="false">IF(EXACT(D91,E91),"Tetap","Diubah")</f>
        <v>Diubah</v>
      </c>
      <c r="H91" s="5" t="s">
        <v>23</v>
      </c>
    </row>
    <row r="92" customFormat="false" ht="15" hidden="false" customHeight="false" outlineLevel="0" collapsed="false">
      <c r="A92" s="5" t="n">
        <v>91</v>
      </c>
      <c r="B92" s="5" t="s">
        <v>188</v>
      </c>
      <c r="C92" s="5" t="s">
        <v>54</v>
      </c>
      <c r="D92" s="5" t="s">
        <v>232</v>
      </c>
      <c r="E92" s="5" t="s">
        <v>233</v>
      </c>
      <c r="F92" s="5"/>
      <c r="G92" s="5" t="str">
        <f aca="false">IF(EXACT(D92,E92),"Tetap","Diubah")</f>
        <v>Diubah</v>
      </c>
      <c r="H92" s="5" t="s">
        <v>23</v>
      </c>
    </row>
    <row r="93" customFormat="false" ht="15" hidden="false" customHeight="false" outlineLevel="0" collapsed="false">
      <c r="A93" s="5" t="n">
        <v>92</v>
      </c>
      <c r="B93" s="5" t="s">
        <v>188</v>
      </c>
      <c r="C93" s="5" t="s">
        <v>54</v>
      </c>
      <c r="D93" s="5" t="s">
        <v>234</v>
      </c>
      <c r="E93" s="5" t="s">
        <v>234</v>
      </c>
      <c r="F93" s="5" t="s">
        <v>28</v>
      </c>
      <c r="G93" s="5" t="str">
        <f aca="false">IF(EXACT(D93,E93),"Tetap","Diubah")</f>
        <v>Tetap</v>
      </c>
      <c r="H93" s="5" t="s">
        <v>23</v>
      </c>
    </row>
    <row r="94" customFormat="false" ht="15" hidden="false" customHeight="false" outlineLevel="0" collapsed="false">
      <c r="A94" s="5" t="n">
        <v>93</v>
      </c>
      <c r="B94" s="5" t="s">
        <v>188</v>
      </c>
      <c r="C94" s="5" t="s">
        <v>54</v>
      </c>
      <c r="D94" s="5" t="s">
        <v>235</v>
      </c>
      <c r="E94" s="5" t="s">
        <v>236</v>
      </c>
      <c r="F94" s="5" t="s">
        <v>237</v>
      </c>
      <c r="G94" s="5" t="str">
        <f aca="false">IF(EXACT(D94,E94),"Tetap","Diubah")</f>
        <v>Diubah</v>
      </c>
      <c r="H94" s="5" t="s">
        <v>23</v>
      </c>
    </row>
    <row r="95" customFormat="false" ht="15" hidden="false" customHeight="false" outlineLevel="0" collapsed="false">
      <c r="A95" s="5" t="n">
        <v>94</v>
      </c>
      <c r="B95" s="5" t="s">
        <v>188</v>
      </c>
      <c r="C95" s="5" t="s">
        <v>54</v>
      </c>
      <c r="D95" s="5" t="s">
        <v>238</v>
      </c>
      <c r="E95" s="5" t="s">
        <v>239</v>
      </c>
      <c r="F95" s="5"/>
      <c r="G95" s="5" t="str">
        <f aca="false">IF(EXACT(D95,E95),"Tetap","Diubah")</f>
        <v>Diubah</v>
      </c>
      <c r="H95" s="5" t="s">
        <v>23</v>
      </c>
    </row>
    <row r="96" customFormat="false" ht="15" hidden="false" customHeight="false" outlineLevel="0" collapsed="false">
      <c r="A96" s="5" t="n">
        <v>95</v>
      </c>
      <c r="B96" s="5" t="s">
        <v>188</v>
      </c>
      <c r="C96" s="5" t="s">
        <v>54</v>
      </c>
      <c r="D96" s="5" t="s">
        <v>240</v>
      </c>
      <c r="E96" s="5" t="s">
        <v>241</v>
      </c>
      <c r="F96" s="5"/>
      <c r="G96" s="5" t="str">
        <f aca="false">IF(EXACT(D96,E96),"Tetap","Diubah")</f>
        <v>Diubah</v>
      </c>
      <c r="H96" s="5" t="s">
        <v>23</v>
      </c>
    </row>
    <row r="97" customFormat="false" ht="15" hidden="false" customHeight="false" outlineLevel="0" collapsed="false">
      <c r="A97" s="5" t="n">
        <v>96</v>
      </c>
      <c r="B97" s="5" t="s">
        <v>188</v>
      </c>
      <c r="C97" s="5" t="s">
        <v>221</v>
      </c>
      <c r="D97" s="5" t="s">
        <v>242</v>
      </c>
      <c r="E97" s="5" t="s">
        <v>243</v>
      </c>
      <c r="F97" s="5"/>
      <c r="G97" s="5" t="str">
        <f aca="false">IF(EXACT(D97,E97),"Tetap","Diubah")</f>
        <v>Diubah</v>
      </c>
      <c r="H97" s="5" t="s">
        <v>23</v>
      </c>
    </row>
    <row r="98" customFormat="false" ht="15" hidden="false" customHeight="false" outlineLevel="0" collapsed="false">
      <c r="A98" s="5" t="n">
        <v>97</v>
      </c>
      <c r="B98" s="5" t="s">
        <v>188</v>
      </c>
      <c r="C98" s="5" t="s">
        <v>54</v>
      </c>
      <c r="D98" s="5" t="s">
        <v>244</v>
      </c>
      <c r="E98" s="5" t="s">
        <v>245</v>
      </c>
      <c r="F98" s="5"/>
      <c r="G98" s="5" t="str">
        <f aca="false">IF(EXACT(D98,E98),"Tetap","Diubah")</f>
        <v>Diubah</v>
      </c>
      <c r="H98" s="5" t="s">
        <v>23</v>
      </c>
    </row>
    <row r="99" customFormat="false" ht="15" hidden="false" customHeight="false" outlineLevel="0" collapsed="false">
      <c r="A99" s="5" t="n">
        <v>98</v>
      </c>
      <c r="B99" s="5" t="s">
        <v>188</v>
      </c>
      <c r="C99" s="5" t="s">
        <v>54</v>
      </c>
      <c r="D99" s="5" t="s">
        <v>246</v>
      </c>
      <c r="E99" s="5" t="s">
        <v>247</v>
      </c>
      <c r="F99" s="5"/>
      <c r="G99" s="5" t="str">
        <f aca="false">IF(EXACT(D99,E99),"Tetap","Diubah")</f>
        <v>Diubah</v>
      </c>
      <c r="H99" s="5" t="s">
        <v>23</v>
      </c>
    </row>
    <row r="100" customFormat="false" ht="15" hidden="false" customHeight="false" outlineLevel="0" collapsed="false">
      <c r="A100" s="5" t="n">
        <v>99</v>
      </c>
      <c r="B100" s="5" t="s">
        <v>188</v>
      </c>
      <c r="C100" s="5" t="s">
        <v>54</v>
      </c>
      <c r="D100" s="5" t="s">
        <v>248</v>
      </c>
      <c r="E100" s="5" t="s">
        <v>249</v>
      </c>
      <c r="F100" s="5"/>
      <c r="G100" s="5" t="str">
        <f aca="false">IF(EXACT(D100,E100),"Tetap","Diubah")</f>
        <v>Diubah</v>
      </c>
      <c r="H100" s="5" t="s">
        <v>23</v>
      </c>
    </row>
    <row r="101" customFormat="false" ht="15" hidden="false" customHeight="false" outlineLevel="0" collapsed="false">
      <c r="A101" s="5" t="n">
        <v>100</v>
      </c>
      <c r="B101" s="5" t="s">
        <v>188</v>
      </c>
      <c r="C101" s="5" t="s">
        <v>45</v>
      </c>
      <c r="D101" s="5" t="s">
        <v>250</v>
      </c>
      <c r="E101" s="5" t="s">
        <v>251</v>
      </c>
      <c r="F101" s="5"/>
      <c r="G101" s="5" t="str">
        <f aca="false">IF(EXACT(D101,E101),"Tetap","Diubah")</f>
        <v>Diubah</v>
      </c>
      <c r="H101" s="5" t="s">
        <v>23</v>
      </c>
    </row>
    <row r="102" customFormat="false" ht="15" hidden="false" customHeight="false" outlineLevel="0" collapsed="false">
      <c r="A102" s="5" t="n">
        <v>101</v>
      </c>
      <c r="B102" s="5" t="s">
        <v>188</v>
      </c>
      <c r="C102" s="5" t="s">
        <v>252</v>
      </c>
      <c r="D102" s="5" t="s">
        <v>253</v>
      </c>
      <c r="E102" s="5" t="s">
        <v>254</v>
      </c>
      <c r="F102" s="5"/>
      <c r="G102" s="5" t="str">
        <f aca="false">IF(EXACT(D102,E102),"Tetap","Diubah")</f>
        <v>Diubah</v>
      </c>
      <c r="H102" s="5" t="s">
        <v>23</v>
      </c>
    </row>
    <row r="103" customFormat="false" ht="23.85" hidden="false" customHeight="false" outlineLevel="0" collapsed="false">
      <c r="A103" s="5" t="n">
        <v>102</v>
      </c>
      <c r="B103" s="5" t="s">
        <v>188</v>
      </c>
      <c r="C103" s="5" t="s">
        <v>130</v>
      </c>
      <c r="D103" s="5" t="s">
        <v>255</v>
      </c>
      <c r="E103" s="5" t="s">
        <v>256</v>
      </c>
      <c r="F103" s="5"/>
      <c r="G103" s="5" t="str">
        <f aca="false">IF(EXACT(D103,E103),"Tetap","Diubah")</f>
        <v>Diubah</v>
      </c>
      <c r="H103" s="5" t="s">
        <v>23</v>
      </c>
    </row>
    <row r="104" customFormat="false" ht="15" hidden="false" customHeight="false" outlineLevel="0" collapsed="false">
      <c r="A104" s="5" t="n">
        <v>103</v>
      </c>
      <c r="B104" s="5" t="s">
        <v>188</v>
      </c>
      <c r="C104" s="5" t="s">
        <v>54</v>
      </c>
      <c r="D104" s="5" t="s">
        <v>257</v>
      </c>
      <c r="E104" s="5" t="s">
        <v>257</v>
      </c>
      <c r="F104" s="5" t="s">
        <v>28</v>
      </c>
      <c r="G104" s="5" t="str">
        <f aca="false">IF(EXACT(D104,E104),"Tetap","Diubah")</f>
        <v>Tetap</v>
      </c>
      <c r="H104" s="5" t="s">
        <v>23</v>
      </c>
    </row>
    <row r="105" customFormat="false" ht="15" hidden="false" customHeight="false" outlineLevel="0" collapsed="false">
      <c r="A105" s="5" t="n">
        <v>104</v>
      </c>
      <c r="B105" s="5" t="s">
        <v>188</v>
      </c>
      <c r="C105" s="5" t="s">
        <v>54</v>
      </c>
      <c r="D105" s="5" t="s">
        <v>258</v>
      </c>
      <c r="E105" s="5" t="s">
        <v>259</v>
      </c>
      <c r="F105" s="5"/>
      <c r="G105" s="5" t="str">
        <f aca="false">IF(EXACT(D105,E105),"Tetap","Diubah")</f>
        <v>Diubah</v>
      </c>
      <c r="H105" s="5" t="s">
        <v>23</v>
      </c>
    </row>
    <row r="106" customFormat="false" ht="15" hidden="false" customHeight="false" outlineLevel="0" collapsed="false">
      <c r="A106" s="5" t="n">
        <v>105</v>
      </c>
      <c r="B106" s="5" t="s">
        <v>188</v>
      </c>
      <c r="C106" s="5" t="s">
        <v>54</v>
      </c>
      <c r="D106" s="5" t="s">
        <v>260</v>
      </c>
      <c r="E106" s="5" t="s">
        <v>261</v>
      </c>
      <c r="F106" s="5"/>
      <c r="G106" s="5" t="str">
        <f aca="false">IF(EXACT(D106,E106),"Tetap","Diubah")</f>
        <v>Diubah</v>
      </c>
      <c r="H106" s="5" t="s">
        <v>23</v>
      </c>
    </row>
    <row r="107" customFormat="false" ht="15" hidden="false" customHeight="false" outlineLevel="0" collapsed="false">
      <c r="A107" s="5" t="n">
        <v>106</v>
      </c>
      <c r="B107" s="5" t="s">
        <v>188</v>
      </c>
      <c r="C107" s="5" t="s">
        <v>54</v>
      </c>
      <c r="D107" s="5" t="s">
        <v>262</v>
      </c>
      <c r="E107" s="5" t="s">
        <v>262</v>
      </c>
      <c r="F107" s="5" t="s">
        <v>28</v>
      </c>
      <c r="G107" s="5" t="str">
        <f aca="false">IF(EXACT(D107,E107),"Tetap","Diubah")</f>
        <v>Tetap</v>
      </c>
      <c r="H107" s="5" t="s">
        <v>23</v>
      </c>
    </row>
    <row r="108" customFormat="false" ht="15" hidden="false" customHeight="false" outlineLevel="0" collapsed="false">
      <c r="A108" s="5" t="n">
        <v>107</v>
      </c>
      <c r="B108" s="5" t="s">
        <v>188</v>
      </c>
      <c r="C108" s="5" t="s">
        <v>54</v>
      </c>
      <c r="D108" s="5" t="s">
        <v>263</v>
      </c>
      <c r="E108" s="5" t="s">
        <v>264</v>
      </c>
      <c r="F108" s="5" t="s">
        <v>265</v>
      </c>
      <c r="G108" s="5" t="str">
        <f aca="false">IF(EXACT(D108,E108),"Tetap","Diubah")</f>
        <v>Diubah</v>
      </c>
      <c r="H108" s="5" t="s">
        <v>23</v>
      </c>
    </row>
    <row r="109" customFormat="false" ht="15" hidden="false" customHeight="false" outlineLevel="0" collapsed="false">
      <c r="A109" s="5" t="n">
        <v>108</v>
      </c>
      <c r="B109" s="5" t="s">
        <v>188</v>
      </c>
      <c r="C109" s="5" t="s">
        <v>54</v>
      </c>
      <c r="D109" s="5" t="s">
        <v>266</v>
      </c>
      <c r="E109" s="5" t="s">
        <v>267</v>
      </c>
      <c r="F109" s="5"/>
      <c r="G109" s="5" t="str">
        <f aca="false">IF(EXACT(D109,E109),"Tetap","Diubah")</f>
        <v>Diubah</v>
      </c>
      <c r="H109" s="5" t="s">
        <v>23</v>
      </c>
    </row>
    <row r="110" customFormat="false" ht="15" hidden="false" customHeight="false" outlineLevel="0" collapsed="false">
      <c r="A110" s="5" t="n">
        <v>109</v>
      </c>
      <c r="B110" s="5" t="s">
        <v>188</v>
      </c>
      <c r="C110" s="5" t="s">
        <v>100</v>
      </c>
      <c r="D110" s="5" t="s">
        <v>268</v>
      </c>
      <c r="E110" s="5" t="s">
        <v>269</v>
      </c>
      <c r="F110" s="5" t="s">
        <v>270</v>
      </c>
      <c r="G110" s="5" t="str">
        <f aca="false">IF(EXACT(D110,E110),"Tetap","Diubah")</f>
        <v>Diubah</v>
      </c>
      <c r="H110" s="5" t="s">
        <v>23</v>
      </c>
    </row>
    <row r="111" customFormat="false" ht="15" hidden="false" customHeight="false" outlineLevel="0" collapsed="false">
      <c r="A111" s="5" t="n">
        <v>110</v>
      </c>
      <c r="B111" s="5" t="s">
        <v>188</v>
      </c>
      <c r="C111" s="5" t="s">
        <v>221</v>
      </c>
      <c r="D111" s="5" t="s">
        <v>271</v>
      </c>
      <c r="E111" s="5" t="s">
        <v>272</v>
      </c>
      <c r="F111" s="5"/>
      <c r="G111" s="5" t="str">
        <f aca="false">IF(EXACT(D111,E111),"Tetap","Diubah")</f>
        <v>Diubah</v>
      </c>
      <c r="H111" s="5" t="s">
        <v>23</v>
      </c>
    </row>
    <row r="112" customFormat="false" ht="23.85" hidden="false" customHeight="false" outlineLevel="0" collapsed="false">
      <c r="A112" s="5" t="n">
        <v>111</v>
      </c>
      <c r="B112" s="5" t="s">
        <v>188</v>
      </c>
      <c r="C112" s="5" t="s">
        <v>130</v>
      </c>
      <c r="D112" s="5" t="s">
        <v>273</v>
      </c>
      <c r="E112" s="5" t="s">
        <v>274</v>
      </c>
      <c r="F112" s="5"/>
      <c r="G112" s="5" t="str">
        <f aca="false">IF(EXACT(D112,E112),"Tetap","Diubah")</f>
        <v>Diubah</v>
      </c>
      <c r="H112" s="5" t="s">
        <v>23</v>
      </c>
    </row>
    <row r="113" customFormat="false" ht="15" hidden="false" customHeight="false" outlineLevel="0" collapsed="false">
      <c r="A113" s="5" t="n">
        <v>112</v>
      </c>
      <c r="B113" s="5" t="s">
        <v>188</v>
      </c>
      <c r="C113" s="5" t="s">
        <v>45</v>
      </c>
      <c r="D113" s="5" t="s">
        <v>275</v>
      </c>
      <c r="E113" s="5" t="s">
        <v>210</v>
      </c>
      <c r="F113" s="5"/>
      <c r="G113" s="5" t="str">
        <f aca="false">IF(EXACT(D113,E113),"Tetap","Diubah")</f>
        <v>Diubah</v>
      </c>
      <c r="H113" s="5" t="s">
        <v>23</v>
      </c>
    </row>
    <row r="114" customFormat="false" ht="15" hidden="false" customHeight="false" outlineLevel="0" collapsed="false">
      <c r="A114" s="5" t="n">
        <v>113</v>
      </c>
      <c r="B114" s="5" t="s">
        <v>188</v>
      </c>
      <c r="C114" s="5" t="s">
        <v>71</v>
      </c>
      <c r="D114" s="5" t="s">
        <v>276</v>
      </c>
      <c r="E114" s="5" t="s">
        <v>212</v>
      </c>
      <c r="F114" s="5"/>
      <c r="G114" s="5" t="str">
        <f aca="false">IF(EXACT(D114,E114),"Tetap","Diubah")</f>
        <v>Diubah</v>
      </c>
      <c r="H114" s="5" t="s">
        <v>23</v>
      </c>
    </row>
    <row r="115" customFormat="false" ht="15" hidden="false" customHeight="false" outlineLevel="0" collapsed="false">
      <c r="A115" s="5" t="n">
        <v>114</v>
      </c>
      <c r="B115" s="5" t="s">
        <v>188</v>
      </c>
      <c r="C115" s="5" t="s">
        <v>20</v>
      </c>
      <c r="D115" s="5" t="s">
        <v>277</v>
      </c>
      <c r="E115" s="5" t="s">
        <v>278</v>
      </c>
      <c r="F115" s="5" t="s">
        <v>279</v>
      </c>
      <c r="G115" s="5" t="str">
        <f aca="false">IF(EXACT(D115,E115),"Tetap","Diubah")</f>
        <v>Diubah</v>
      </c>
      <c r="H115" s="5" t="s">
        <v>23</v>
      </c>
    </row>
    <row r="116" customFormat="false" ht="15" hidden="false" customHeight="false" outlineLevel="0" collapsed="false">
      <c r="A116" s="5" t="n">
        <v>115</v>
      </c>
      <c r="B116" s="5" t="s">
        <v>188</v>
      </c>
      <c r="C116" s="5" t="s">
        <v>20</v>
      </c>
      <c r="D116" s="5" t="s">
        <v>280</v>
      </c>
      <c r="E116" s="5" t="s">
        <v>172</v>
      </c>
      <c r="F116" s="5"/>
      <c r="G116" s="5" t="str">
        <f aca="false">IF(EXACT(D116,E116),"Tetap","Diubah")</f>
        <v>Diubah</v>
      </c>
      <c r="H116" s="5" t="s">
        <v>23</v>
      </c>
    </row>
    <row r="117" customFormat="false" ht="15" hidden="false" customHeight="false" outlineLevel="0" collapsed="false">
      <c r="A117" s="5" t="n">
        <v>116</v>
      </c>
      <c r="B117" s="5" t="s">
        <v>188</v>
      </c>
      <c r="C117" s="5" t="s">
        <v>20</v>
      </c>
      <c r="D117" s="5" t="s">
        <v>281</v>
      </c>
      <c r="E117" s="5" t="s">
        <v>282</v>
      </c>
      <c r="F117" s="5"/>
      <c r="G117" s="5" t="str">
        <f aca="false">IF(EXACT(D117,E117),"Tetap","Diubah")</f>
        <v>Diubah</v>
      </c>
      <c r="H117" s="5" t="s">
        <v>23</v>
      </c>
    </row>
    <row r="118" customFormat="false" ht="15" hidden="false" customHeight="false" outlineLevel="0" collapsed="false">
      <c r="A118" s="5" t="n">
        <v>117</v>
      </c>
      <c r="B118" s="5" t="s">
        <v>188</v>
      </c>
      <c r="C118" s="5" t="s">
        <v>283</v>
      </c>
      <c r="D118" s="5" t="s">
        <v>284</v>
      </c>
      <c r="E118" s="5" t="s">
        <v>285</v>
      </c>
      <c r="F118" s="5"/>
      <c r="G118" s="5" t="str">
        <f aca="false">IF(EXACT(D118,E118),"Tetap","Diubah")</f>
        <v>Diubah</v>
      </c>
      <c r="H118" s="5" t="s">
        <v>23</v>
      </c>
    </row>
    <row r="119" customFormat="false" ht="15" hidden="false" customHeight="false" outlineLevel="0" collapsed="false">
      <c r="A119" s="5" t="n">
        <v>118</v>
      </c>
      <c r="B119" s="5" t="s">
        <v>188</v>
      </c>
      <c r="C119" s="5" t="s">
        <v>159</v>
      </c>
      <c r="D119" s="5" t="s">
        <v>286</v>
      </c>
      <c r="E119" s="5" t="s">
        <v>287</v>
      </c>
      <c r="F119" s="5" t="s">
        <v>288</v>
      </c>
      <c r="G119" s="5" t="str">
        <f aca="false">IF(EXACT(D119,E119),"Tetap","Diubah")</f>
        <v>Diubah</v>
      </c>
      <c r="H119" s="5" t="s">
        <v>23</v>
      </c>
    </row>
    <row r="120" customFormat="false" ht="15" hidden="false" customHeight="false" outlineLevel="0" collapsed="false">
      <c r="A120" s="5" t="n">
        <v>119</v>
      </c>
      <c r="B120" s="5" t="s">
        <v>188</v>
      </c>
      <c r="C120" s="5" t="s">
        <v>283</v>
      </c>
      <c r="D120" s="5" t="s">
        <v>289</v>
      </c>
      <c r="E120" s="5" t="s">
        <v>290</v>
      </c>
      <c r="F120" s="5"/>
      <c r="G120" s="5" t="str">
        <f aca="false">IF(EXACT(D120,E120),"Tetap","Diubah")</f>
        <v>Diubah</v>
      </c>
      <c r="H120" s="5" t="s">
        <v>23</v>
      </c>
    </row>
    <row r="121" customFormat="false" ht="15" hidden="false" customHeight="false" outlineLevel="0" collapsed="false">
      <c r="A121" s="5" t="n">
        <v>120</v>
      </c>
      <c r="B121" s="5" t="s">
        <v>188</v>
      </c>
      <c r="C121" s="5" t="s">
        <v>130</v>
      </c>
      <c r="D121" s="5" t="s">
        <v>291</v>
      </c>
      <c r="E121" s="5" t="s">
        <v>292</v>
      </c>
      <c r="F121" s="5"/>
      <c r="G121" s="5" t="str">
        <f aca="false">IF(EXACT(D121,E121),"Tetap","Diubah")</f>
        <v>Diubah</v>
      </c>
      <c r="H121" s="5" t="s">
        <v>23</v>
      </c>
    </row>
    <row r="122" customFormat="false" ht="15" hidden="false" customHeight="false" outlineLevel="0" collapsed="false">
      <c r="A122" s="5" t="n">
        <v>121</v>
      </c>
      <c r="B122" s="5" t="s">
        <v>188</v>
      </c>
      <c r="C122" s="5" t="s">
        <v>283</v>
      </c>
      <c r="D122" s="5" t="s">
        <v>293</v>
      </c>
      <c r="E122" s="5" t="s">
        <v>257</v>
      </c>
      <c r="F122" s="5"/>
      <c r="G122" s="5" t="str">
        <f aca="false">IF(EXACT(D122,E122),"Tetap","Diubah")</f>
        <v>Diubah</v>
      </c>
      <c r="H122" s="5" t="s">
        <v>23</v>
      </c>
    </row>
    <row r="123" customFormat="false" ht="15" hidden="false" customHeight="false" outlineLevel="0" collapsed="false">
      <c r="A123" s="5" t="n">
        <v>122</v>
      </c>
      <c r="B123" s="5" t="s">
        <v>188</v>
      </c>
      <c r="C123" s="5" t="s">
        <v>283</v>
      </c>
      <c r="D123" s="5" t="s">
        <v>294</v>
      </c>
      <c r="E123" s="5" t="s">
        <v>295</v>
      </c>
      <c r="F123" s="5"/>
      <c r="G123" s="5" t="str">
        <f aca="false">IF(EXACT(D123,E123),"Tetap","Diubah")</f>
        <v>Diubah</v>
      </c>
      <c r="H123" s="5" t="s">
        <v>23</v>
      </c>
    </row>
    <row r="124" customFormat="false" ht="15" hidden="false" customHeight="false" outlineLevel="0" collapsed="false">
      <c r="A124" s="5" t="n">
        <v>123</v>
      </c>
      <c r="B124" s="5" t="s">
        <v>188</v>
      </c>
      <c r="C124" s="5" t="s">
        <v>112</v>
      </c>
      <c r="D124" s="5" t="s">
        <v>296</v>
      </c>
      <c r="E124" s="5" t="s">
        <v>297</v>
      </c>
      <c r="F124" s="5"/>
      <c r="G124" s="5" t="str">
        <f aca="false">IF(EXACT(D124,E124),"Tetap","Diubah")</f>
        <v>Diubah</v>
      </c>
      <c r="H124" s="5" t="s">
        <v>23</v>
      </c>
    </row>
    <row r="125" customFormat="false" ht="15" hidden="false" customHeight="false" outlineLevel="0" collapsed="false">
      <c r="A125" s="5" t="n">
        <v>124</v>
      </c>
      <c r="B125" s="5" t="s">
        <v>188</v>
      </c>
      <c r="C125" s="5" t="s">
        <v>112</v>
      </c>
      <c r="D125" s="5" t="s">
        <v>298</v>
      </c>
      <c r="E125" s="5" t="s">
        <v>299</v>
      </c>
      <c r="F125" s="5"/>
      <c r="G125" s="5" t="str">
        <f aca="false">IF(EXACT(D125,E125),"Tetap","Diubah")</f>
        <v>Diubah</v>
      </c>
      <c r="H125" s="5" t="s">
        <v>23</v>
      </c>
    </row>
    <row r="126" customFormat="false" ht="15" hidden="false" customHeight="false" outlineLevel="0" collapsed="false">
      <c r="A126" s="5" t="n">
        <v>125</v>
      </c>
      <c r="B126" s="5" t="s">
        <v>188</v>
      </c>
      <c r="C126" s="5" t="s">
        <v>112</v>
      </c>
      <c r="D126" s="5" t="s">
        <v>300</v>
      </c>
      <c r="E126" s="5" t="s">
        <v>301</v>
      </c>
      <c r="F126" s="5"/>
      <c r="G126" s="5" t="str">
        <f aca="false">IF(EXACT(D126,E126),"Tetap","Diubah")</f>
        <v>Diubah</v>
      </c>
      <c r="H126" s="5" t="s">
        <v>23</v>
      </c>
    </row>
    <row r="127" customFormat="false" ht="15" hidden="false" customHeight="false" outlineLevel="0" collapsed="false">
      <c r="A127" s="5" t="n">
        <v>126</v>
      </c>
      <c r="B127" s="5" t="s">
        <v>188</v>
      </c>
      <c r="C127" s="5" t="s">
        <v>283</v>
      </c>
      <c r="D127" s="5" t="s">
        <v>302</v>
      </c>
      <c r="E127" s="5" t="s">
        <v>303</v>
      </c>
      <c r="F127" s="5" t="s">
        <v>304</v>
      </c>
      <c r="G127" s="5" t="str">
        <f aca="false">IF(EXACT(D127,E127),"Tetap","Diubah")</f>
        <v>Diubah</v>
      </c>
      <c r="H127" s="5" t="s">
        <v>23</v>
      </c>
    </row>
    <row r="128" customFormat="false" ht="15" hidden="false" customHeight="false" outlineLevel="0" collapsed="false">
      <c r="A128" s="5" t="n">
        <v>127</v>
      </c>
      <c r="B128" s="5" t="s">
        <v>188</v>
      </c>
      <c r="C128" s="5" t="s">
        <v>71</v>
      </c>
      <c r="D128" s="5" t="s">
        <v>305</v>
      </c>
      <c r="E128" s="5" t="s">
        <v>306</v>
      </c>
      <c r="F128" s="5"/>
      <c r="G128" s="5" t="str">
        <f aca="false">IF(EXACT(D128,E128),"Tetap","Diubah")</f>
        <v>Diubah</v>
      </c>
      <c r="H128" s="5" t="s">
        <v>23</v>
      </c>
    </row>
    <row r="129" customFormat="false" ht="15" hidden="false" customHeight="false" outlineLevel="0" collapsed="false">
      <c r="A129" s="5" t="n">
        <v>128</v>
      </c>
      <c r="B129" s="5" t="s">
        <v>188</v>
      </c>
      <c r="C129" s="5" t="s">
        <v>307</v>
      </c>
      <c r="D129" s="5" t="s">
        <v>308</v>
      </c>
      <c r="E129" s="5" t="s">
        <v>309</v>
      </c>
      <c r="F129" s="5" t="s">
        <v>288</v>
      </c>
      <c r="G129" s="5" t="str">
        <f aca="false">IF(EXACT(D129,E129),"Tetap","Diubah")</f>
        <v>Diubah</v>
      </c>
      <c r="H129" s="5" t="s">
        <v>23</v>
      </c>
    </row>
    <row r="130" customFormat="false" ht="15" hidden="false" customHeight="false" outlineLevel="0" collapsed="false">
      <c r="A130" s="5" t="n">
        <v>129</v>
      </c>
      <c r="B130" s="5" t="s">
        <v>188</v>
      </c>
      <c r="C130" s="5" t="s">
        <v>307</v>
      </c>
      <c r="D130" s="5" t="s">
        <v>310</v>
      </c>
      <c r="E130" s="5" t="s">
        <v>311</v>
      </c>
      <c r="F130" s="5" t="s">
        <v>312</v>
      </c>
      <c r="G130" s="5" t="str">
        <f aca="false">IF(EXACT(D130,E130),"Tetap","Diubah")</f>
        <v>Diubah</v>
      </c>
      <c r="H130" s="5" t="s">
        <v>23</v>
      </c>
    </row>
    <row r="131" customFormat="false" ht="15" hidden="false" customHeight="false" outlineLevel="0" collapsed="false">
      <c r="A131" s="5" t="n">
        <v>130</v>
      </c>
      <c r="B131" s="5" t="s">
        <v>188</v>
      </c>
      <c r="C131" s="5" t="s">
        <v>307</v>
      </c>
      <c r="D131" s="5" t="s">
        <v>313</v>
      </c>
      <c r="E131" s="5" t="s">
        <v>314</v>
      </c>
      <c r="F131" s="5"/>
      <c r="G131" s="5" t="str">
        <f aca="false">IF(EXACT(D131,E131),"Tetap","Diubah")</f>
        <v>Diubah</v>
      </c>
      <c r="H131" s="5" t="s">
        <v>23</v>
      </c>
    </row>
    <row r="132" customFormat="false" ht="15" hidden="false" customHeight="false" outlineLevel="0" collapsed="false">
      <c r="A132" s="5" t="n">
        <v>131</v>
      </c>
      <c r="B132" s="5" t="s">
        <v>188</v>
      </c>
      <c r="C132" s="5" t="s">
        <v>307</v>
      </c>
      <c r="D132" s="5" t="s">
        <v>315</v>
      </c>
      <c r="E132" s="5" t="s">
        <v>316</v>
      </c>
      <c r="F132" s="5" t="s">
        <v>317</v>
      </c>
      <c r="G132" s="5" t="str">
        <f aca="false">IF(EXACT(D132,E132),"Tetap","Diubah")</f>
        <v>Diubah</v>
      </c>
      <c r="H132" s="5" t="s">
        <v>23</v>
      </c>
    </row>
    <row r="133" customFormat="false" ht="15" hidden="false" customHeight="false" outlineLevel="0" collapsed="false">
      <c r="A133" s="5" t="n">
        <v>132</v>
      </c>
      <c r="B133" s="5" t="s">
        <v>188</v>
      </c>
      <c r="C133" s="5" t="s">
        <v>307</v>
      </c>
      <c r="D133" s="5" t="s">
        <v>318</v>
      </c>
      <c r="E133" s="5" t="s">
        <v>319</v>
      </c>
      <c r="F133" s="5"/>
      <c r="G133" s="5" t="str">
        <f aca="false">IF(EXACT(D133,E133),"Tetap","Diubah")</f>
        <v>Diubah</v>
      </c>
      <c r="H133" s="5" t="s">
        <v>23</v>
      </c>
    </row>
    <row r="134" customFormat="false" ht="15" hidden="false" customHeight="false" outlineLevel="0" collapsed="false">
      <c r="A134" s="5" t="n">
        <v>133</v>
      </c>
      <c r="B134" s="5" t="s">
        <v>188</v>
      </c>
      <c r="C134" s="5" t="s">
        <v>307</v>
      </c>
      <c r="D134" s="5" t="s">
        <v>320</v>
      </c>
      <c r="E134" s="5" t="s">
        <v>321</v>
      </c>
      <c r="F134" s="5"/>
      <c r="G134" s="5" t="str">
        <f aca="false">IF(EXACT(D134,E134),"Tetap","Diubah")</f>
        <v>Diubah</v>
      </c>
      <c r="H134" s="5" t="s">
        <v>23</v>
      </c>
    </row>
    <row r="135" customFormat="false" ht="15" hidden="false" customHeight="false" outlineLevel="0" collapsed="false">
      <c r="A135" s="5" t="n">
        <v>134</v>
      </c>
      <c r="B135" s="5" t="s">
        <v>188</v>
      </c>
      <c r="C135" s="5" t="s">
        <v>307</v>
      </c>
      <c r="D135" s="5" t="s">
        <v>322</v>
      </c>
      <c r="E135" s="5" t="s">
        <v>323</v>
      </c>
      <c r="F135" s="5"/>
      <c r="G135" s="5" t="str">
        <f aca="false">IF(EXACT(D135,E135),"Tetap","Diubah")</f>
        <v>Diubah</v>
      </c>
      <c r="H135" s="5" t="s">
        <v>23</v>
      </c>
    </row>
    <row r="136" customFormat="false" ht="15" hidden="false" customHeight="false" outlineLevel="0" collapsed="false">
      <c r="A136" s="5" t="n">
        <v>135</v>
      </c>
      <c r="B136" s="5" t="s">
        <v>188</v>
      </c>
      <c r="C136" s="5" t="s">
        <v>307</v>
      </c>
      <c r="D136" s="5" t="s">
        <v>324</v>
      </c>
      <c r="E136" s="5" t="s">
        <v>325</v>
      </c>
      <c r="F136" s="5" t="s">
        <v>326</v>
      </c>
      <c r="G136" s="5" t="str">
        <f aca="false">IF(EXACT(D136,E136),"Tetap","Diubah")</f>
        <v>Diubah</v>
      </c>
      <c r="H136" s="5" t="s">
        <v>23</v>
      </c>
    </row>
    <row r="137" customFormat="false" ht="15" hidden="false" customHeight="false" outlineLevel="0" collapsed="false">
      <c r="A137" s="5" t="n">
        <v>136</v>
      </c>
      <c r="B137" s="5" t="s">
        <v>188</v>
      </c>
      <c r="C137" s="5" t="s">
        <v>307</v>
      </c>
      <c r="D137" s="5" t="s">
        <v>327</v>
      </c>
      <c r="E137" s="5" t="s">
        <v>114</v>
      </c>
      <c r="F137" s="5"/>
      <c r="G137" s="5" t="str">
        <f aca="false">IF(EXACT(D137,E137),"Tetap","Diubah")</f>
        <v>Diubah</v>
      </c>
      <c r="H137" s="5" t="s">
        <v>23</v>
      </c>
    </row>
    <row r="138" customFormat="false" ht="15" hidden="false" customHeight="false" outlineLevel="0" collapsed="false">
      <c r="A138" s="5" t="n">
        <v>137</v>
      </c>
      <c r="B138" s="5" t="s">
        <v>188</v>
      </c>
      <c r="C138" s="5" t="s">
        <v>307</v>
      </c>
      <c r="D138" s="5" t="s">
        <v>328</v>
      </c>
      <c r="E138" s="5" t="s">
        <v>329</v>
      </c>
      <c r="F138" s="5"/>
      <c r="G138" s="5" t="str">
        <f aca="false">IF(EXACT(D138,E138),"Tetap","Diubah")</f>
        <v>Diubah</v>
      </c>
      <c r="H138" s="5" t="s">
        <v>23</v>
      </c>
    </row>
    <row r="139" customFormat="false" ht="15" hidden="false" customHeight="false" outlineLevel="0" collapsed="false">
      <c r="A139" s="5" t="n">
        <v>138</v>
      </c>
      <c r="B139" s="5" t="s">
        <v>188</v>
      </c>
      <c r="C139" s="5" t="s">
        <v>330</v>
      </c>
      <c r="D139" s="5" t="s">
        <v>331</v>
      </c>
      <c r="E139" s="5" t="s">
        <v>332</v>
      </c>
      <c r="F139" s="5" t="s">
        <v>333</v>
      </c>
      <c r="G139" s="5" t="str">
        <f aca="false">IF(EXACT(D139,E139),"Tetap","Diubah")</f>
        <v>Diubah</v>
      </c>
      <c r="H139" s="5" t="s">
        <v>23</v>
      </c>
    </row>
    <row r="140" customFormat="false" ht="15" hidden="false" customHeight="false" outlineLevel="0" collapsed="false">
      <c r="A140" s="5" t="n">
        <v>139</v>
      </c>
      <c r="B140" s="5" t="s">
        <v>188</v>
      </c>
      <c r="C140" s="5" t="s">
        <v>45</v>
      </c>
      <c r="D140" s="5" t="s">
        <v>334</v>
      </c>
      <c r="E140" s="5" t="s">
        <v>335</v>
      </c>
      <c r="F140" s="5"/>
      <c r="G140" s="5" t="str">
        <f aca="false">IF(EXACT(D140,E140),"Tetap","Diubah")</f>
        <v>Diubah</v>
      </c>
      <c r="H140" s="5" t="s">
        <v>23</v>
      </c>
    </row>
    <row r="141" customFormat="false" ht="15" hidden="false" customHeight="false" outlineLevel="0" collapsed="false">
      <c r="A141" s="5" t="n">
        <v>140</v>
      </c>
      <c r="B141" s="5" t="s">
        <v>188</v>
      </c>
      <c r="C141" s="5" t="s">
        <v>20</v>
      </c>
      <c r="D141" s="5" t="s">
        <v>336</v>
      </c>
      <c r="E141" s="5" t="s">
        <v>337</v>
      </c>
      <c r="F141" s="5"/>
      <c r="G141" s="5" t="str">
        <f aca="false">IF(EXACT(D141,E141),"Tetap","Diubah")</f>
        <v>Diubah</v>
      </c>
      <c r="H141" s="5" t="s">
        <v>23</v>
      </c>
    </row>
    <row r="142" customFormat="false" ht="15" hidden="false" customHeight="false" outlineLevel="0" collapsed="false">
      <c r="A142" s="5" t="n">
        <v>141</v>
      </c>
      <c r="B142" s="5" t="s">
        <v>188</v>
      </c>
      <c r="C142" s="5" t="s">
        <v>330</v>
      </c>
      <c r="D142" s="5" t="s">
        <v>338</v>
      </c>
      <c r="E142" s="5" t="s">
        <v>339</v>
      </c>
      <c r="F142" s="5"/>
      <c r="G142" s="5" t="str">
        <f aca="false">IF(EXACT(D142,E142),"Tetap","Diubah")</f>
        <v>Diubah</v>
      </c>
      <c r="H142" s="5" t="s">
        <v>23</v>
      </c>
    </row>
    <row r="143" customFormat="false" ht="15" hidden="false" customHeight="false" outlineLevel="0" collapsed="false">
      <c r="A143" s="5" t="n">
        <v>142</v>
      </c>
      <c r="B143" s="5" t="s">
        <v>188</v>
      </c>
      <c r="C143" s="5" t="s">
        <v>330</v>
      </c>
      <c r="D143" s="5" t="s">
        <v>340</v>
      </c>
      <c r="E143" s="5" t="s">
        <v>341</v>
      </c>
      <c r="F143" s="5"/>
      <c r="G143" s="5" t="str">
        <f aca="false">IF(EXACT(D143,E143),"Tetap","Diubah")</f>
        <v>Diubah</v>
      </c>
      <c r="H143" s="5" t="s">
        <v>23</v>
      </c>
    </row>
    <row r="144" customFormat="false" ht="15" hidden="false" customHeight="false" outlineLevel="0" collapsed="false">
      <c r="A144" s="5" t="n">
        <v>143</v>
      </c>
      <c r="B144" s="5" t="s">
        <v>188</v>
      </c>
      <c r="C144" s="5" t="s">
        <v>54</v>
      </c>
      <c r="D144" s="5" t="s">
        <v>342</v>
      </c>
      <c r="E144" s="5" t="s">
        <v>343</v>
      </c>
      <c r="F144" s="5" t="s">
        <v>344</v>
      </c>
      <c r="G144" s="5" t="str">
        <f aca="false">IF(EXACT(D144,E144),"Tetap","Diubah")</f>
        <v>Diubah</v>
      </c>
      <c r="H144" s="5" t="s">
        <v>23</v>
      </c>
    </row>
    <row r="145" customFormat="false" ht="15" hidden="false" customHeight="false" outlineLevel="0" collapsed="false">
      <c r="A145" s="5" t="n">
        <v>144</v>
      </c>
      <c r="B145" s="5" t="s">
        <v>188</v>
      </c>
      <c r="C145" s="5" t="s">
        <v>54</v>
      </c>
      <c r="D145" s="5" t="s">
        <v>345</v>
      </c>
      <c r="E145" s="5" t="s">
        <v>346</v>
      </c>
      <c r="F145" s="5"/>
      <c r="G145" s="5" t="str">
        <f aca="false">IF(EXACT(D145,E145),"Tetap","Diubah")</f>
        <v>Diubah</v>
      </c>
      <c r="H145" s="5" t="s">
        <v>23</v>
      </c>
    </row>
    <row r="146" customFormat="false" ht="15" hidden="false" customHeight="false" outlineLevel="0" collapsed="false">
      <c r="A146" s="5" t="n">
        <v>145</v>
      </c>
      <c r="B146" s="5" t="s">
        <v>188</v>
      </c>
      <c r="C146" s="5" t="s">
        <v>20</v>
      </c>
      <c r="D146" s="5" t="s">
        <v>347</v>
      </c>
      <c r="E146" s="5" t="s">
        <v>348</v>
      </c>
      <c r="F146" s="5"/>
      <c r="G146" s="5" t="str">
        <f aca="false">IF(EXACT(D146,E146),"Tetap","Diubah")</f>
        <v>Diubah</v>
      </c>
      <c r="H146" s="5" t="s">
        <v>23</v>
      </c>
    </row>
    <row r="147" customFormat="false" ht="15" hidden="false" customHeight="false" outlineLevel="0" collapsed="false">
      <c r="A147" s="5" t="n">
        <v>146</v>
      </c>
      <c r="B147" s="5" t="s">
        <v>188</v>
      </c>
      <c r="C147" s="5" t="s">
        <v>45</v>
      </c>
      <c r="D147" s="5" t="s">
        <v>349</v>
      </c>
      <c r="E147" s="5" t="s">
        <v>350</v>
      </c>
      <c r="F147" s="5"/>
      <c r="G147" s="5" t="str">
        <f aca="false">IF(EXACT(D147,E147),"Tetap","Diubah")</f>
        <v>Diubah</v>
      </c>
      <c r="H147" s="5" t="s">
        <v>23</v>
      </c>
    </row>
    <row r="148" customFormat="false" ht="15" hidden="false" customHeight="false" outlineLevel="0" collapsed="false">
      <c r="A148" s="5" t="n">
        <v>147</v>
      </c>
      <c r="B148" s="5" t="s">
        <v>188</v>
      </c>
      <c r="C148" s="5" t="s">
        <v>159</v>
      </c>
      <c r="D148" s="5" t="s">
        <v>351</v>
      </c>
      <c r="E148" s="5" t="s">
        <v>352</v>
      </c>
      <c r="F148" s="5"/>
      <c r="G148" s="5" t="str">
        <f aca="false">IF(EXACT(D148,E148),"Tetap","Diubah")</f>
        <v>Diubah</v>
      </c>
      <c r="H148" s="5" t="s">
        <v>23</v>
      </c>
    </row>
    <row r="149" customFormat="false" ht="15" hidden="false" customHeight="false" outlineLevel="0" collapsed="false">
      <c r="A149" s="5" t="n">
        <v>148</v>
      </c>
      <c r="B149" s="5" t="s">
        <v>188</v>
      </c>
      <c r="C149" s="5" t="s">
        <v>45</v>
      </c>
      <c r="D149" s="5" t="s">
        <v>353</v>
      </c>
      <c r="E149" s="5" t="s">
        <v>353</v>
      </c>
      <c r="F149" s="5" t="s">
        <v>28</v>
      </c>
      <c r="G149" s="5" t="str">
        <f aca="false">IF(EXACT(D149,E149),"Tetap","Diubah")</f>
        <v>Tetap</v>
      </c>
      <c r="H149" s="5" t="s">
        <v>23</v>
      </c>
    </row>
    <row r="150" customFormat="false" ht="23.85" hidden="false" customHeight="false" outlineLevel="0" collapsed="false">
      <c r="A150" s="5" t="n">
        <v>149</v>
      </c>
      <c r="B150" s="5" t="s">
        <v>188</v>
      </c>
      <c r="C150" s="5" t="s">
        <v>130</v>
      </c>
      <c r="D150" s="5" t="s">
        <v>354</v>
      </c>
      <c r="E150" s="5" t="s">
        <v>355</v>
      </c>
      <c r="F150" s="5"/>
      <c r="G150" s="5" t="str">
        <f aca="false">IF(EXACT(D150,E150),"Tetap","Diubah")</f>
        <v>Diubah</v>
      </c>
      <c r="H150" s="5" t="s">
        <v>23</v>
      </c>
    </row>
    <row r="151" customFormat="false" ht="23.85" hidden="false" customHeight="false" outlineLevel="0" collapsed="false">
      <c r="A151" s="5" t="n">
        <v>150</v>
      </c>
      <c r="B151" s="5" t="s">
        <v>188</v>
      </c>
      <c r="C151" s="5" t="s">
        <v>130</v>
      </c>
      <c r="D151" s="5" t="s">
        <v>356</v>
      </c>
      <c r="E151" s="5" t="s">
        <v>357</v>
      </c>
      <c r="F151" s="5"/>
      <c r="G151" s="5" t="str">
        <f aca="false">IF(EXACT(D151,E151),"Tetap","Diubah")</f>
        <v>Diubah</v>
      </c>
      <c r="H151" s="5" t="s">
        <v>23</v>
      </c>
    </row>
    <row r="152" customFormat="false" ht="15" hidden="false" customHeight="false" outlineLevel="0" collapsed="false">
      <c r="A152" s="5" t="n">
        <v>151</v>
      </c>
      <c r="B152" s="5" t="s">
        <v>188</v>
      </c>
      <c r="C152" s="5" t="s">
        <v>112</v>
      </c>
      <c r="D152" s="5" t="s">
        <v>358</v>
      </c>
      <c r="E152" s="5" t="s">
        <v>359</v>
      </c>
      <c r="F152" s="5"/>
      <c r="G152" s="5" t="str">
        <f aca="false">IF(EXACT(D152,E152),"Tetap","Diubah")</f>
        <v>Diubah</v>
      </c>
      <c r="H152" s="5" t="s">
        <v>23</v>
      </c>
    </row>
    <row r="153" customFormat="false" ht="15" hidden="false" customHeight="false" outlineLevel="0" collapsed="false">
      <c r="A153" s="5" t="n">
        <v>152</v>
      </c>
      <c r="B153" s="5" t="s">
        <v>188</v>
      </c>
      <c r="C153" s="5" t="s">
        <v>153</v>
      </c>
      <c r="D153" s="5" t="s">
        <v>360</v>
      </c>
      <c r="E153" s="5" t="s">
        <v>361</v>
      </c>
      <c r="F153" s="5"/>
      <c r="G153" s="5" t="str">
        <f aca="false">IF(EXACT(D153,E153),"Tetap","Diubah")</f>
        <v>Diubah</v>
      </c>
      <c r="H153" s="5" t="s">
        <v>23</v>
      </c>
    </row>
    <row r="154" customFormat="false" ht="23.85" hidden="false" customHeight="false" outlineLevel="0" collapsed="false">
      <c r="A154" s="5" t="n">
        <v>153</v>
      </c>
      <c r="B154" s="5" t="s">
        <v>188</v>
      </c>
      <c r="C154" s="5" t="s">
        <v>130</v>
      </c>
      <c r="D154" s="5" t="s">
        <v>362</v>
      </c>
      <c r="E154" s="5" t="s">
        <v>363</v>
      </c>
      <c r="F154" s="5"/>
      <c r="G154" s="5" t="str">
        <f aca="false">IF(EXACT(D154,E154),"Tetap","Diubah")</f>
        <v>Diubah</v>
      </c>
      <c r="H154" s="5" t="s">
        <v>23</v>
      </c>
    </row>
    <row r="155" customFormat="false" ht="15" hidden="false" customHeight="false" outlineLevel="0" collapsed="false">
      <c r="A155" s="5" t="n">
        <v>154</v>
      </c>
      <c r="B155" s="5" t="s">
        <v>188</v>
      </c>
      <c r="C155" s="5" t="s">
        <v>54</v>
      </c>
      <c r="D155" s="5" t="s">
        <v>364</v>
      </c>
      <c r="E155" s="5" t="s">
        <v>245</v>
      </c>
      <c r="F155" s="5"/>
      <c r="G155" s="5" t="str">
        <f aca="false">IF(EXACT(D155,E155),"Tetap","Diubah")</f>
        <v>Diubah</v>
      </c>
      <c r="H155" s="5" t="s">
        <v>23</v>
      </c>
    </row>
    <row r="156" customFormat="false" ht="15" hidden="false" customHeight="false" outlineLevel="0" collapsed="false">
      <c r="A156" s="5" t="n">
        <v>155</v>
      </c>
      <c r="B156" s="5" t="s">
        <v>188</v>
      </c>
      <c r="C156" s="5" t="s">
        <v>54</v>
      </c>
      <c r="D156" s="5" t="s">
        <v>365</v>
      </c>
      <c r="E156" s="5" t="s">
        <v>231</v>
      </c>
      <c r="F156" s="5"/>
      <c r="G156" s="5" t="str">
        <f aca="false">IF(EXACT(D156,E156),"Tetap","Diubah")</f>
        <v>Diubah</v>
      </c>
      <c r="H156" s="5" t="s">
        <v>23</v>
      </c>
    </row>
    <row r="157" customFormat="false" ht="15" hidden="false" customHeight="false" outlineLevel="0" collapsed="false">
      <c r="A157" s="5" t="n">
        <v>156</v>
      </c>
      <c r="B157" s="5" t="s">
        <v>188</v>
      </c>
      <c r="C157" s="5" t="s">
        <v>54</v>
      </c>
      <c r="D157" s="5" t="s">
        <v>366</v>
      </c>
      <c r="E157" s="5" t="s">
        <v>367</v>
      </c>
      <c r="F157" s="5"/>
      <c r="G157" s="5" t="str">
        <f aca="false">IF(EXACT(D157,E157),"Tetap","Diubah")</f>
        <v>Diubah</v>
      </c>
      <c r="H157" s="5" t="s">
        <v>23</v>
      </c>
    </row>
    <row r="158" customFormat="false" ht="15" hidden="false" customHeight="false" outlineLevel="0" collapsed="false">
      <c r="A158" s="5" t="n">
        <v>157</v>
      </c>
      <c r="B158" s="5" t="s">
        <v>188</v>
      </c>
      <c r="C158" s="5" t="s">
        <v>54</v>
      </c>
      <c r="D158" s="5" t="s">
        <v>368</v>
      </c>
      <c r="E158" s="5" t="s">
        <v>368</v>
      </c>
      <c r="F158" s="5" t="s">
        <v>28</v>
      </c>
      <c r="G158" s="5" t="str">
        <f aca="false">IF(EXACT(D158,E158),"Tetap","Diubah")</f>
        <v>Tetap</v>
      </c>
      <c r="H158" s="5" t="s">
        <v>23</v>
      </c>
    </row>
    <row r="159" customFormat="false" ht="15" hidden="false" customHeight="false" outlineLevel="0" collapsed="false">
      <c r="A159" s="5" t="n">
        <v>158</v>
      </c>
      <c r="B159" s="5" t="s">
        <v>188</v>
      </c>
      <c r="C159" s="5" t="s">
        <v>54</v>
      </c>
      <c r="D159" s="5" t="s">
        <v>369</v>
      </c>
      <c r="E159" s="5" t="s">
        <v>370</v>
      </c>
      <c r="F159" s="5"/>
      <c r="G159" s="5" t="str">
        <f aca="false">IF(EXACT(D159,E159),"Tetap","Diubah")</f>
        <v>Diubah</v>
      </c>
      <c r="H159" s="5" t="s">
        <v>23</v>
      </c>
    </row>
    <row r="160" customFormat="false" ht="15" hidden="false" customHeight="false" outlineLevel="0" collapsed="false">
      <c r="A160" s="5" t="n">
        <v>159</v>
      </c>
      <c r="B160" s="5" t="s">
        <v>188</v>
      </c>
      <c r="C160" s="5" t="s">
        <v>54</v>
      </c>
      <c r="D160" s="5" t="s">
        <v>371</v>
      </c>
      <c r="E160" s="5" t="s">
        <v>371</v>
      </c>
      <c r="F160" s="5" t="s">
        <v>28</v>
      </c>
      <c r="G160" s="5" t="str">
        <f aca="false">IF(EXACT(D160,E160),"Tetap","Diubah")</f>
        <v>Tetap</v>
      </c>
      <c r="H160" s="5" t="s">
        <v>23</v>
      </c>
    </row>
    <row r="161" customFormat="false" ht="15" hidden="false" customHeight="false" outlineLevel="0" collapsed="false">
      <c r="A161" s="5" t="n">
        <v>160</v>
      </c>
      <c r="B161" s="5" t="s">
        <v>188</v>
      </c>
      <c r="C161" s="5" t="s">
        <v>54</v>
      </c>
      <c r="D161" s="5" t="s">
        <v>372</v>
      </c>
      <c r="E161" s="5" t="s">
        <v>373</v>
      </c>
      <c r="F161" s="5"/>
      <c r="G161" s="5" t="str">
        <f aca="false">IF(EXACT(D161,E161),"Tetap","Diubah")</f>
        <v>Diubah</v>
      </c>
      <c r="H161" s="5" t="s">
        <v>23</v>
      </c>
    </row>
    <row r="162" customFormat="false" ht="15" hidden="false" customHeight="false" outlineLevel="0" collapsed="false">
      <c r="A162" s="5" t="n">
        <v>161</v>
      </c>
      <c r="B162" s="5" t="s">
        <v>188</v>
      </c>
      <c r="C162" s="5" t="s">
        <v>54</v>
      </c>
      <c r="D162" s="5" t="s">
        <v>374</v>
      </c>
      <c r="E162" s="5" t="s">
        <v>375</v>
      </c>
      <c r="F162" s="5"/>
      <c r="G162" s="5" t="str">
        <f aca="false">IF(EXACT(D162,E162),"Tetap","Diubah")</f>
        <v>Diubah</v>
      </c>
      <c r="H162" s="5" t="s">
        <v>23</v>
      </c>
    </row>
    <row r="163" customFormat="false" ht="15" hidden="false" customHeight="false" outlineLevel="0" collapsed="false">
      <c r="A163" s="5" t="n">
        <v>162</v>
      </c>
      <c r="B163" s="5" t="s">
        <v>188</v>
      </c>
      <c r="C163" s="5" t="s">
        <v>54</v>
      </c>
      <c r="D163" s="5" t="s">
        <v>376</v>
      </c>
      <c r="E163" s="5" t="s">
        <v>377</v>
      </c>
      <c r="F163" s="5"/>
      <c r="G163" s="5" t="str">
        <f aca="false">IF(EXACT(D163,E163),"Tetap","Diubah")</f>
        <v>Diubah</v>
      </c>
      <c r="H163" s="5" t="s">
        <v>23</v>
      </c>
    </row>
    <row r="164" customFormat="false" ht="15" hidden="false" customHeight="false" outlineLevel="0" collapsed="false">
      <c r="A164" s="5" t="n">
        <v>163</v>
      </c>
      <c r="B164" s="5" t="s">
        <v>188</v>
      </c>
      <c r="C164" s="5" t="s">
        <v>54</v>
      </c>
      <c r="D164" s="5" t="s">
        <v>378</v>
      </c>
      <c r="E164" s="5" t="s">
        <v>379</v>
      </c>
      <c r="F164" s="5"/>
      <c r="G164" s="5" t="str">
        <f aca="false">IF(EXACT(D164,E164),"Tetap","Diubah")</f>
        <v>Diubah</v>
      </c>
      <c r="H164" s="5" t="s">
        <v>23</v>
      </c>
    </row>
    <row r="165" customFormat="false" ht="15" hidden="false" customHeight="false" outlineLevel="0" collapsed="false">
      <c r="A165" s="5" t="n">
        <v>164</v>
      </c>
      <c r="B165" s="5" t="s">
        <v>188</v>
      </c>
      <c r="C165" s="5" t="s">
        <v>100</v>
      </c>
      <c r="D165" s="5" t="s">
        <v>380</v>
      </c>
      <c r="E165" s="5" t="s">
        <v>381</v>
      </c>
      <c r="F165" s="5"/>
      <c r="G165" s="5" t="str">
        <f aca="false">IF(EXACT(D165,E165),"Tetap","Diubah")</f>
        <v>Diubah</v>
      </c>
      <c r="H165" s="5" t="s">
        <v>23</v>
      </c>
    </row>
    <row r="166" customFormat="false" ht="15" hidden="false" customHeight="false" outlineLevel="0" collapsed="false">
      <c r="A166" s="5" t="n">
        <v>165</v>
      </c>
      <c r="B166" s="5" t="s">
        <v>188</v>
      </c>
      <c r="C166" s="5" t="s">
        <v>90</v>
      </c>
      <c r="D166" s="5" t="s">
        <v>382</v>
      </c>
      <c r="E166" s="5" t="s">
        <v>92</v>
      </c>
      <c r="F166" s="5"/>
      <c r="G166" s="5" t="str">
        <f aca="false">IF(EXACT(D166,E166),"Tetap","Diubah")</f>
        <v>Diubah</v>
      </c>
      <c r="H166" s="5" t="s">
        <v>23</v>
      </c>
    </row>
    <row r="167" customFormat="false" ht="15" hidden="false" customHeight="false" outlineLevel="0" collapsed="false">
      <c r="A167" s="5" t="n">
        <v>166</v>
      </c>
      <c r="B167" s="5" t="s">
        <v>188</v>
      </c>
      <c r="C167" s="5" t="s">
        <v>90</v>
      </c>
      <c r="D167" s="5" t="s">
        <v>383</v>
      </c>
      <c r="E167" s="5" t="s">
        <v>95</v>
      </c>
      <c r="F167" s="5"/>
      <c r="G167" s="5" t="str">
        <f aca="false">IF(EXACT(D167,E167),"Tetap","Diubah")</f>
        <v>Diubah</v>
      </c>
      <c r="H167" s="5" t="s">
        <v>23</v>
      </c>
    </row>
    <row r="168" customFormat="false" ht="15" hidden="false" customHeight="false" outlineLevel="0" collapsed="false">
      <c r="A168" s="5" t="n">
        <v>167</v>
      </c>
      <c r="B168" s="5" t="s">
        <v>188</v>
      </c>
      <c r="C168" s="5" t="s">
        <v>54</v>
      </c>
      <c r="D168" s="5" t="s">
        <v>384</v>
      </c>
      <c r="E168" s="5" t="s">
        <v>385</v>
      </c>
      <c r="F168" s="5"/>
      <c r="G168" s="5" t="str">
        <f aca="false">IF(EXACT(D168,E168),"Tetap","Diubah")</f>
        <v>Diubah</v>
      </c>
      <c r="H168" s="5" t="s">
        <v>23</v>
      </c>
    </row>
    <row r="169" customFormat="false" ht="15" hidden="false" customHeight="false" outlineLevel="0" collapsed="false">
      <c r="A169" s="5" t="n">
        <v>168</v>
      </c>
      <c r="B169" s="5" t="s">
        <v>188</v>
      </c>
      <c r="C169" s="5" t="s">
        <v>54</v>
      </c>
      <c r="D169" s="5" t="s">
        <v>386</v>
      </c>
      <c r="E169" s="5" t="s">
        <v>387</v>
      </c>
      <c r="F169" s="5"/>
      <c r="G169" s="5" t="str">
        <f aca="false">IF(EXACT(D169,E169),"Tetap","Diubah")</f>
        <v>Diubah</v>
      </c>
      <c r="H169" s="5" t="s">
        <v>23</v>
      </c>
    </row>
    <row r="170" customFormat="false" ht="23.85" hidden="false" customHeight="false" outlineLevel="0" collapsed="false">
      <c r="A170" s="5" t="n">
        <v>169</v>
      </c>
      <c r="B170" s="5" t="s">
        <v>188</v>
      </c>
      <c r="C170" s="5" t="s">
        <v>130</v>
      </c>
      <c r="D170" s="5" t="s">
        <v>388</v>
      </c>
      <c r="E170" s="5" t="s">
        <v>389</v>
      </c>
      <c r="F170" s="5"/>
      <c r="G170" s="5" t="str">
        <f aca="false">IF(EXACT(D170,E170),"Tetap","Diubah")</f>
        <v>Diubah</v>
      </c>
      <c r="H170" s="5" t="s">
        <v>23</v>
      </c>
    </row>
    <row r="171" customFormat="false" ht="15" hidden="false" customHeight="false" outlineLevel="0" collapsed="false">
      <c r="A171" s="5" t="n">
        <v>170</v>
      </c>
      <c r="B171" s="5" t="s">
        <v>188</v>
      </c>
      <c r="C171" s="5" t="s">
        <v>20</v>
      </c>
      <c r="D171" s="5" t="s">
        <v>390</v>
      </c>
      <c r="E171" s="5" t="s">
        <v>391</v>
      </c>
      <c r="F171" s="5"/>
      <c r="G171" s="5" t="str">
        <f aca="false">IF(EXACT(D171,E171),"Tetap","Diubah")</f>
        <v>Diubah</v>
      </c>
      <c r="H171" s="5" t="s">
        <v>23</v>
      </c>
    </row>
    <row r="172" customFormat="false" ht="15" hidden="false" customHeight="false" outlineLevel="0" collapsed="false">
      <c r="A172" s="5" t="n">
        <v>171</v>
      </c>
      <c r="B172" s="5" t="s">
        <v>188</v>
      </c>
      <c r="C172" s="5" t="s">
        <v>130</v>
      </c>
      <c r="D172" s="5" t="s">
        <v>392</v>
      </c>
      <c r="E172" s="5" t="s">
        <v>393</v>
      </c>
      <c r="F172" s="5"/>
      <c r="G172" s="5" t="str">
        <f aca="false">IF(EXACT(D172,E172),"Tetap","Diubah")</f>
        <v>Diubah</v>
      </c>
      <c r="H172" s="5" t="s">
        <v>23</v>
      </c>
    </row>
    <row r="173" customFormat="false" ht="23.85" hidden="false" customHeight="false" outlineLevel="0" collapsed="false">
      <c r="A173" s="5" t="n">
        <v>172</v>
      </c>
      <c r="B173" s="5" t="s">
        <v>188</v>
      </c>
      <c r="C173" s="5" t="s">
        <v>130</v>
      </c>
      <c r="D173" s="5" t="s">
        <v>394</v>
      </c>
      <c r="E173" s="5" t="s">
        <v>395</v>
      </c>
      <c r="F173" s="5" t="s">
        <v>396</v>
      </c>
      <c r="G173" s="5" t="str">
        <f aca="false">IF(EXACT(D173,E173),"Tetap","Diubah")</f>
        <v>Diubah</v>
      </c>
      <c r="H173" s="5" t="s">
        <v>23</v>
      </c>
    </row>
    <row r="174" customFormat="false" ht="15" hidden="false" customHeight="false" outlineLevel="0" collapsed="false">
      <c r="A174" s="5" t="n">
        <v>173</v>
      </c>
      <c r="B174" s="5" t="s">
        <v>188</v>
      </c>
      <c r="C174" s="5" t="s">
        <v>115</v>
      </c>
      <c r="D174" s="5" t="s">
        <v>397</v>
      </c>
      <c r="E174" s="5" t="s">
        <v>398</v>
      </c>
      <c r="F174" s="5"/>
      <c r="G174" s="5" t="str">
        <f aca="false">IF(EXACT(D174,E174),"Tetap","Diubah")</f>
        <v>Diubah</v>
      </c>
      <c r="H174" s="5" t="s">
        <v>23</v>
      </c>
    </row>
    <row r="175" customFormat="false" ht="15" hidden="false" customHeight="false" outlineLevel="0" collapsed="false">
      <c r="A175" s="5" t="n">
        <v>174</v>
      </c>
      <c r="B175" s="5" t="s">
        <v>188</v>
      </c>
      <c r="C175" s="5" t="s">
        <v>115</v>
      </c>
      <c r="D175" s="5" t="s">
        <v>399</v>
      </c>
      <c r="E175" s="5" t="s">
        <v>400</v>
      </c>
      <c r="F175" s="5"/>
      <c r="G175" s="5" t="str">
        <f aca="false">IF(EXACT(D175,E175),"Tetap","Diubah")</f>
        <v>Diubah</v>
      </c>
      <c r="H175" s="5" t="s">
        <v>23</v>
      </c>
    </row>
    <row r="176" customFormat="false" ht="15" hidden="false" customHeight="false" outlineLevel="0" collapsed="false">
      <c r="A176" s="5" t="n">
        <v>175</v>
      </c>
      <c r="B176" s="5" t="s">
        <v>188</v>
      </c>
      <c r="C176" s="5" t="s">
        <v>20</v>
      </c>
      <c r="D176" s="5" t="s">
        <v>401</v>
      </c>
      <c r="E176" s="5" t="s">
        <v>402</v>
      </c>
      <c r="F176" s="5"/>
      <c r="G176" s="5" t="str">
        <f aca="false">IF(EXACT(D176,E176),"Tetap","Diubah")</f>
        <v>Diubah</v>
      </c>
      <c r="H176" s="5" t="s">
        <v>23</v>
      </c>
    </row>
    <row r="177" customFormat="false" ht="15" hidden="false" customHeight="false" outlineLevel="0" collapsed="false">
      <c r="A177" s="5" t="n">
        <v>176</v>
      </c>
      <c r="B177" s="5" t="s">
        <v>188</v>
      </c>
      <c r="C177" s="5" t="s">
        <v>221</v>
      </c>
      <c r="D177" s="5" t="s">
        <v>403</v>
      </c>
      <c r="E177" s="5" t="s">
        <v>404</v>
      </c>
      <c r="F177" s="5"/>
      <c r="G177" s="5" t="str">
        <f aca="false">IF(EXACT(D177,E177),"Tetap","Diubah")</f>
        <v>Diubah</v>
      </c>
      <c r="H177" s="5" t="s">
        <v>23</v>
      </c>
    </row>
    <row r="178" customFormat="false" ht="15" hidden="false" customHeight="false" outlineLevel="0" collapsed="false">
      <c r="A178" s="5" t="n">
        <v>177</v>
      </c>
      <c r="B178" s="5" t="s">
        <v>188</v>
      </c>
      <c r="C178" s="5" t="s">
        <v>130</v>
      </c>
      <c r="D178" s="5" t="s">
        <v>405</v>
      </c>
      <c r="E178" s="5" t="s">
        <v>406</v>
      </c>
      <c r="F178" s="5"/>
      <c r="G178" s="5" t="str">
        <f aca="false">IF(EXACT(D178,E178),"Tetap","Diubah")</f>
        <v>Diubah</v>
      </c>
      <c r="H178" s="5" t="s">
        <v>23</v>
      </c>
    </row>
    <row r="179" customFormat="false" ht="15" hidden="false" customHeight="false" outlineLevel="0" collapsed="false">
      <c r="A179" s="5" t="n">
        <v>178</v>
      </c>
      <c r="B179" s="5" t="s">
        <v>188</v>
      </c>
      <c r="C179" s="5" t="s">
        <v>54</v>
      </c>
      <c r="D179" s="5" t="s">
        <v>407</v>
      </c>
      <c r="E179" s="5" t="s">
        <v>408</v>
      </c>
      <c r="F179" s="5"/>
      <c r="G179" s="5" t="str">
        <f aca="false">IF(EXACT(D179,E179),"Tetap","Diubah")</f>
        <v>Diubah</v>
      </c>
      <c r="H179" s="5" t="s">
        <v>23</v>
      </c>
    </row>
    <row r="180" customFormat="false" ht="15" hidden="false" customHeight="false" outlineLevel="0" collapsed="false">
      <c r="A180" s="5" t="n">
        <v>179</v>
      </c>
      <c r="B180" s="5" t="s">
        <v>188</v>
      </c>
      <c r="C180" s="5" t="s">
        <v>54</v>
      </c>
      <c r="D180" s="5" t="s">
        <v>409</v>
      </c>
      <c r="E180" s="5" t="s">
        <v>410</v>
      </c>
      <c r="F180" s="5"/>
      <c r="G180" s="5" t="str">
        <f aca="false">IF(EXACT(D180,E180),"Tetap","Diubah")</f>
        <v>Diubah</v>
      </c>
      <c r="H180" s="5" t="s">
        <v>23</v>
      </c>
    </row>
    <row r="181" customFormat="false" ht="15" hidden="false" customHeight="false" outlineLevel="0" collapsed="false">
      <c r="A181" s="5" t="n">
        <v>180</v>
      </c>
      <c r="B181" s="5" t="s">
        <v>188</v>
      </c>
      <c r="C181" s="5" t="s">
        <v>54</v>
      </c>
      <c r="D181" s="5" t="s">
        <v>411</v>
      </c>
      <c r="E181" s="5" t="s">
        <v>412</v>
      </c>
      <c r="F181" s="5"/>
      <c r="G181" s="5" t="str">
        <f aca="false">IF(EXACT(D181,E181),"Tetap","Diubah")</f>
        <v>Diubah</v>
      </c>
      <c r="H181" s="5" t="s">
        <v>23</v>
      </c>
    </row>
    <row r="182" customFormat="false" ht="15" hidden="false" customHeight="false" outlineLevel="0" collapsed="false">
      <c r="A182" s="5" t="n">
        <v>181</v>
      </c>
      <c r="B182" s="5" t="s">
        <v>188</v>
      </c>
      <c r="C182" s="5" t="s">
        <v>130</v>
      </c>
      <c r="D182" s="5" t="s">
        <v>413</v>
      </c>
      <c r="E182" s="5" t="s">
        <v>414</v>
      </c>
      <c r="F182" s="5"/>
      <c r="G182" s="5" t="str">
        <f aca="false">IF(EXACT(D182,E182),"Tetap","Diubah")</f>
        <v>Diubah</v>
      </c>
      <c r="H182" s="5" t="s">
        <v>23</v>
      </c>
    </row>
    <row r="183" customFormat="false" ht="15" hidden="false" customHeight="false" outlineLevel="0" collapsed="false">
      <c r="A183" s="5" t="n">
        <v>182</v>
      </c>
      <c r="B183" s="5" t="s">
        <v>188</v>
      </c>
      <c r="C183" s="5" t="s">
        <v>54</v>
      </c>
      <c r="D183" s="5" t="s">
        <v>415</v>
      </c>
      <c r="E183" s="5" t="s">
        <v>416</v>
      </c>
      <c r="F183" s="5"/>
      <c r="G183" s="5" t="str">
        <f aca="false">IF(EXACT(D183,E183),"Tetap","Diubah")</f>
        <v>Diubah</v>
      </c>
      <c r="H183" s="5" t="s">
        <v>23</v>
      </c>
    </row>
    <row r="184" customFormat="false" ht="15" hidden="false" customHeight="false" outlineLevel="0" collapsed="false">
      <c r="A184" s="5" t="n">
        <v>183</v>
      </c>
      <c r="B184" s="5" t="s">
        <v>188</v>
      </c>
      <c r="C184" s="5" t="s">
        <v>54</v>
      </c>
      <c r="D184" s="5" t="s">
        <v>417</v>
      </c>
      <c r="E184" s="5" t="s">
        <v>418</v>
      </c>
      <c r="F184" s="5"/>
      <c r="G184" s="5" t="str">
        <f aca="false">IF(EXACT(D184,E184),"Tetap","Diubah")</f>
        <v>Diubah</v>
      </c>
      <c r="H184" s="5" t="s">
        <v>23</v>
      </c>
    </row>
    <row r="185" customFormat="false" ht="15" hidden="false" customHeight="false" outlineLevel="0" collapsed="false">
      <c r="A185" s="5" t="n">
        <v>184</v>
      </c>
      <c r="B185" s="5" t="s">
        <v>188</v>
      </c>
      <c r="C185" s="5" t="s">
        <v>54</v>
      </c>
      <c r="D185" s="5" t="s">
        <v>419</v>
      </c>
      <c r="E185" s="5" t="s">
        <v>236</v>
      </c>
      <c r="F185" s="5"/>
      <c r="G185" s="5" t="str">
        <f aca="false">IF(EXACT(D185,E185),"Tetap","Diubah")</f>
        <v>Diubah</v>
      </c>
      <c r="H185" s="5" t="s">
        <v>23</v>
      </c>
    </row>
    <row r="186" customFormat="false" ht="15" hidden="false" customHeight="false" outlineLevel="0" collapsed="false">
      <c r="A186" s="5" t="n">
        <v>185</v>
      </c>
      <c r="B186" s="5" t="s">
        <v>188</v>
      </c>
      <c r="C186" s="5" t="s">
        <v>54</v>
      </c>
      <c r="D186" s="5" t="s">
        <v>420</v>
      </c>
      <c r="E186" s="5" t="s">
        <v>420</v>
      </c>
      <c r="F186" s="5" t="s">
        <v>28</v>
      </c>
      <c r="G186" s="5" t="str">
        <f aca="false">IF(EXACT(D186,E186),"Tetap","Diubah")</f>
        <v>Tetap</v>
      </c>
      <c r="H186" s="5" t="s">
        <v>23</v>
      </c>
    </row>
    <row r="187" customFormat="false" ht="15" hidden="false" customHeight="false" outlineLevel="0" collapsed="false">
      <c r="A187" s="5" t="n">
        <v>186</v>
      </c>
      <c r="B187" s="5" t="s">
        <v>188</v>
      </c>
      <c r="C187" s="5" t="s">
        <v>54</v>
      </c>
      <c r="D187" s="5" t="s">
        <v>421</v>
      </c>
      <c r="E187" s="5" t="s">
        <v>422</v>
      </c>
      <c r="F187" s="5"/>
      <c r="G187" s="5" t="str">
        <f aca="false">IF(EXACT(D187,E187),"Tetap","Diubah")</f>
        <v>Diubah</v>
      </c>
      <c r="H187" s="5" t="s">
        <v>23</v>
      </c>
    </row>
    <row r="188" customFormat="false" ht="15" hidden="false" customHeight="false" outlineLevel="0" collapsed="false">
      <c r="A188" s="5" t="n">
        <v>187</v>
      </c>
      <c r="B188" s="5" t="s">
        <v>188</v>
      </c>
      <c r="C188" s="5" t="s">
        <v>54</v>
      </c>
      <c r="D188" s="5" t="s">
        <v>423</v>
      </c>
      <c r="E188" s="5" t="s">
        <v>424</v>
      </c>
      <c r="F188" s="5"/>
      <c r="G188" s="5" t="str">
        <f aca="false">IF(EXACT(D188,E188),"Tetap","Diubah")</f>
        <v>Diubah</v>
      </c>
      <c r="H188" s="5" t="s">
        <v>23</v>
      </c>
    </row>
    <row r="189" customFormat="false" ht="15" hidden="false" customHeight="false" outlineLevel="0" collapsed="false">
      <c r="A189" s="5" t="n">
        <v>188</v>
      </c>
      <c r="B189" s="5" t="s">
        <v>188</v>
      </c>
      <c r="C189" s="5" t="s">
        <v>252</v>
      </c>
      <c r="D189" s="5" t="s">
        <v>425</v>
      </c>
      <c r="E189" s="5" t="s">
        <v>426</v>
      </c>
      <c r="F189" s="5" t="s">
        <v>427</v>
      </c>
      <c r="G189" s="5" t="str">
        <f aca="false">IF(EXACT(D189,E189),"Tetap","Diubah")</f>
        <v>Diubah</v>
      </c>
      <c r="H189" s="5" t="s">
        <v>23</v>
      </c>
    </row>
    <row r="190" customFormat="false" ht="23.85" hidden="false" customHeight="false" outlineLevel="0" collapsed="false">
      <c r="A190" s="5" t="n">
        <v>189</v>
      </c>
      <c r="B190" s="5" t="s">
        <v>188</v>
      </c>
      <c r="C190" s="5" t="s">
        <v>130</v>
      </c>
      <c r="D190" s="5" t="s">
        <v>428</v>
      </c>
      <c r="E190" s="5" t="s">
        <v>429</v>
      </c>
      <c r="F190" s="5"/>
      <c r="G190" s="5" t="str">
        <f aca="false">IF(EXACT(D190,E190),"Tetap","Diubah")</f>
        <v>Diubah</v>
      </c>
      <c r="H190" s="5" t="s">
        <v>23</v>
      </c>
    </row>
    <row r="191" customFormat="false" ht="23.85" hidden="false" customHeight="false" outlineLevel="0" collapsed="false">
      <c r="A191" s="5" t="n">
        <v>190</v>
      </c>
      <c r="B191" s="5" t="s">
        <v>188</v>
      </c>
      <c r="C191" s="5" t="s">
        <v>130</v>
      </c>
      <c r="D191" s="5" t="s">
        <v>430</v>
      </c>
      <c r="E191" s="5" t="s">
        <v>431</v>
      </c>
      <c r="F191" s="5"/>
      <c r="G191" s="5" t="str">
        <f aca="false">IF(EXACT(D191,E191),"Tetap","Diubah")</f>
        <v>Diubah</v>
      </c>
      <c r="H191" s="5" t="s">
        <v>23</v>
      </c>
    </row>
    <row r="192" customFormat="false" ht="15" hidden="false" customHeight="false" outlineLevel="0" collapsed="false">
      <c r="A192" s="5" t="n">
        <v>191</v>
      </c>
      <c r="B192" s="5" t="s">
        <v>188</v>
      </c>
      <c r="C192" s="5" t="s">
        <v>20</v>
      </c>
      <c r="D192" s="5" t="s">
        <v>179</v>
      </c>
      <c r="E192" s="5" t="s">
        <v>179</v>
      </c>
      <c r="F192" s="5" t="s">
        <v>28</v>
      </c>
      <c r="G192" s="5" t="str">
        <f aca="false">IF(EXACT(D192,E192),"Tetap","Diubah")</f>
        <v>Tetap</v>
      </c>
      <c r="H192" s="5" t="s">
        <v>23</v>
      </c>
    </row>
    <row r="193" customFormat="false" ht="15" hidden="false" customHeight="false" outlineLevel="0" collapsed="false">
      <c r="A193" s="5" t="n">
        <v>192</v>
      </c>
      <c r="B193" s="5" t="s">
        <v>188</v>
      </c>
      <c r="C193" s="5" t="s">
        <v>20</v>
      </c>
      <c r="D193" s="5" t="s">
        <v>432</v>
      </c>
      <c r="E193" s="5" t="s">
        <v>433</v>
      </c>
      <c r="F193" s="5"/>
      <c r="G193" s="5" t="str">
        <f aca="false">IF(EXACT(D193,E193),"Tetap","Diubah")</f>
        <v>Diubah</v>
      </c>
      <c r="H193" s="5" t="s">
        <v>23</v>
      </c>
    </row>
    <row r="194" customFormat="false" ht="15" hidden="false" customHeight="false" outlineLevel="0" collapsed="false">
      <c r="A194" s="5" t="n">
        <v>193</v>
      </c>
      <c r="B194" s="5" t="s">
        <v>188</v>
      </c>
      <c r="C194" s="5" t="s">
        <v>112</v>
      </c>
      <c r="D194" s="5" t="s">
        <v>434</v>
      </c>
      <c r="E194" s="5" t="s">
        <v>435</v>
      </c>
      <c r="F194" s="5"/>
      <c r="G194" s="5" t="str">
        <f aca="false">IF(EXACT(D194,E194),"Tetap","Diubah")</f>
        <v>Diubah</v>
      </c>
      <c r="H194" s="5" t="s">
        <v>23</v>
      </c>
    </row>
    <row r="195" customFormat="false" ht="15" hidden="false" customHeight="false" outlineLevel="0" collapsed="false">
      <c r="A195" s="5" t="n">
        <v>194</v>
      </c>
      <c r="B195" s="5" t="s">
        <v>188</v>
      </c>
      <c r="C195" s="5" t="s">
        <v>20</v>
      </c>
      <c r="D195" s="5" t="s">
        <v>436</v>
      </c>
      <c r="E195" s="5" t="s">
        <v>437</v>
      </c>
      <c r="F195" s="5"/>
      <c r="G195" s="5" t="str">
        <f aca="false">IF(EXACT(D195,E195),"Tetap","Diubah")</f>
        <v>Diubah</v>
      </c>
      <c r="H195" s="5" t="s">
        <v>23</v>
      </c>
    </row>
    <row r="196" customFormat="false" ht="15" hidden="false" customHeight="false" outlineLevel="0" collapsed="false">
      <c r="A196" s="5" t="n">
        <v>195</v>
      </c>
      <c r="B196" s="5" t="s">
        <v>188</v>
      </c>
      <c r="C196" s="5" t="s">
        <v>330</v>
      </c>
      <c r="D196" s="5" t="s">
        <v>438</v>
      </c>
      <c r="E196" s="5" t="s">
        <v>439</v>
      </c>
      <c r="F196" s="5"/>
      <c r="G196" s="5" t="str">
        <f aca="false">IF(EXACT(D196,E196),"Tetap","Diubah")</f>
        <v>Diubah</v>
      </c>
      <c r="H196" s="5" t="s">
        <v>23</v>
      </c>
    </row>
    <row r="197" customFormat="false" ht="15" hidden="false" customHeight="false" outlineLevel="0" collapsed="false">
      <c r="A197" s="5" t="n">
        <v>196</v>
      </c>
      <c r="B197" s="5" t="s">
        <v>188</v>
      </c>
      <c r="C197" s="5" t="s">
        <v>20</v>
      </c>
      <c r="D197" s="5" t="s">
        <v>440</v>
      </c>
      <c r="E197" s="5" t="s">
        <v>441</v>
      </c>
      <c r="F197" s="5"/>
      <c r="G197" s="5" t="str">
        <f aca="false">IF(EXACT(D197,E197),"Tetap","Diubah")</f>
        <v>Diubah</v>
      </c>
      <c r="H197" s="5" t="s">
        <v>23</v>
      </c>
    </row>
    <row r="198" customFormat="false" ht="15" hidden="false" customHeight="false" outlineLevel="0" collapsed="false">
      <c r="A198" s="5" t="n">
        <v>197</v>
      </c>
      <c r="B198" s="5" t="s">
        <v>188</v>
      </c>
      <c r="C198" s="5" t="s">
        <v>153</v>
      </c>
      <c r="D198" s="5" t="s">
        <v>442</v>
      </c>
      <c r="E198" s="5" t="s">
        <v>337</v>
      </c>
      <c r="F198" s="5"/>
      <c r="G198" s="5" t="str">
        <f aca="false">IF(EXACT(D198,E198),"Tetap","Diubah")</f>
        <v>Diubah</v>
      </c>
      <c r="H198" s="5" t="s">
        <v>23</v>
      </c>
    </row>
    <row r="199" customFormat="false" ht="15" hidden="false" customHeight="false" outlineLevel="0" collapsed="false">
      <c r="A199" s="5" t="n">
        <v>198</v>
      </c>
      <c r="B199" s="5" t="s">
        <v>188</v>
      </c>
      <c r="C199" s="5" t="s">
        <v>54</v>
      </c>
      <c r="D199" s="5" t="s">
        <v>443</v>
      </c>
      <c r="E199" s="5" t="s">
        <v>444</v>
      </c>
      <c r="F199" s="5"/>
      <c r="G199" s="5" t="str">
        <f aca="false">IF(EXACT(D199,E199),"Tetap","Diubah")</f>
        <v>Diubah</v>
      </c>
      <c r="H199" s="5" t="s">
        <v>23</v>
      </c>
    </row>
    <row r="200" customFormat="false" ht="15" hidden="false" customHeight="false" outlineLevel="0" collapsed="false">
      <c r="A200" s="5" t="n">
        <v>199</v>
      </c>
      <c r="B200" s="5" t="s">
        <v>188</v>
      </c>
      <c r="C200" s="5" t="s">
        <v>90</v>
      </c>
      <c r="D200" s="5" t="s">
        <v>331</v>
      </c>
      <c r="E200" s="5" t="s">
        <v>445</v>
      </c>
      <c r="F200" s="5"/>
      <c r="G200" s="5" t="str">
        <f aca="false">IF(EXACT(D200,E200),"Tetap","Diubah")</f>
        <v>Diubah</v>
      </c>
      <c r="H200" s="5" t="s">
        <v>23</v>
      </c>
    </row>
    <row r="201" customFormat="false" ht="15" hidden="false" customHeight="false" outlineLevel="0" collapsed="false">
      <c r="A201" s="5" t="n">
        <v>200</v>
      </c>
      <c r="B201" s="5" t="s">
        <v>188</v>
      </c>
      <c r="C201" s="5" t="s">
        <v>90</v>
      </c>
      <c r="D201" s="5" t="s">
        <v>446</v>
      </c>
      <c r="E201" s="5" t="s">
        <v>447</v>
      </c>
      <c r="F201" s="5"/>
      <c r="G201" s="5" t="str">
        <f aca="false">IF(EXACT(D201,E201),"Tetap","Diubah")</f>
        <v>Diubah</v>
      </c>
      <c r="H201" s="5" t="s">
        <v>23</v>
      </c>
    </row>
    <row r="202" customFormat="false" ht="15" hidden="false" customHeight="false" outlineLevel="0" collapsed="false">
      <c r="A202" s="5" t="n">
        <v>201</v>
      </c>
      <c r="B202" s="5" t="s">
        <v>188</v>
      </c>
      <c r="C202" s="5" t="s">
        <v>90</v>
      </c>
      <c r="D202" s="5" t="s">
        <v>448</v>
      </c>
      <c r="E202" s="5" t="s">
        <v>449</v>
      </c>
      <c r="F202" s="5"/>
      <c r="G202" s="5" t="str">
        <f aca="false">IF(EXACT(D202,E202),"Tetap","Diubah")</f>
        <v>Diubah</v>
      </c>
      <c r="H202" s="5" t="s">
        <v>23</v>
      </c>
    </row>
    <row r="203" customFormat="false" ht="15" hidden="false" customHeight="false" outlineLevel="0" collapsed="false">
      <c r="A203" s="5" t="n">
        <v>202</v>
      </c>
      <c r="B203" s="5" t="s">
        <v>188</v>
      </c>
      <c r="C203" s="5" t="s">
        <v>90</v>
      </c>
      <c r="D203" s="5" t="s">
        <v>450</v>
      </c>
      <c r="E203" s="5" t="s">
        <v>426</v>
      </c>
      <c r="F203" s="5" t="s">
        <v>451</v>
      </c>
      <c r="G203" s="5" t="str">
        <f aca="false">IF(EXACT(D203,E203),"Tetap","Diubah")</f>
        <v>Diubah</v>
      </c>
      <c r="H203" s="5" t="s">
        <v>23</v>
      </c>
    </row>
    <row r="204" customFormat="false" ht="15" hidden="false" customHeight="false" outlineLevel="0" collapsed="false">
      <c r="A204" s="5" t="n">
        <v>203</v>
      </c>
      <c r="B204" s="5" t="s">
        <v>188</v>
      </c>
      <c r="C204" s="5" t="s">
        <v>90</v>
      </c>
      <c r="D204" s="5" t="s">
        <v>452</v>
      </c>
      <c r="E204" s="5" t="s">
        <v>426</v>
      </c>
      <c r="F204" s="5" t="s">
        <v>451</v>
      </c>
      <c r="G204" s="5" t="str">
        <f aca="false">IF(EXACT(D204,E204),"Tetap","Diubah")</f>
        <v>Diubah</v>
      </c>
      <c r="H204" s="5" t="s">
        <v>23</v>
      </c>
    </row>
    <row r="205" customFormat="false" ht="15" hidden="false" customHeight="false" outlineLevel="0" collapsed="false">
      <c r="A205" s="5" t="n">
        <v>204</v>
      </c>
      <c r="B205" s="5" t="s">
        <v>188</v>
      </c>
      <c r="C205" s="5" t="s">
        <v>54</v>
      </c>
      <c r="D205" s="5" t="s">
        <v>453</v>
      </c>
      <c r="E205" s="5" t="s">
        <v>454</v>
      </c>
      <c r="F205" s="5"/>
      <c r="G205" s="5" t="str">
        <f aca="false">IF(EXACT(D205,E205),"Tetap","Diubah")</f>
        <v>Diubah</v>
      </c>
      <c r="H205" s="5" t="s">
        <v>23</v>
      </c>
    </row>
    <row r="206" customFormat="false" ht="15" hidden="false" customHeight="false" outlineLevel="0" collapsed="false">
      <c r="A206" s="5" t="n">
        <v>205</v>
      </c>
      <c r="B206" s="5" t="s">
        <v>188</v>
      </c>
      <c r="C206" s="5" t="s">
        <v>20</v>
      </c>
      <c r="D206" s="5" t="s">
        <v>455</v>
      </c>
      <c r="E206" s="5" t="s">
        <v>456</v>
      </c>
      <c r="F206" s="5"/>
      <c r="G206" s="5" t="str">
        <f aca="false">IF(EXACT(D206,E206),"Tetap","Diubah")</f>
        <v>Diubah</v>
      </c>
      <c r="H206" s="5" t="s">
        <v>23</v>
      </c>
    </row>
    <row r="207" customFormat="false" ht="15" hidden="false" customHeight="false" outlineLevel="0" collapsed="false">
      <c r="A207" s="5" t="n">
        <v>206</v>
      </c>
      <c r="B207" s="5" t="s">
        <v>188</v>
      </c>
      <c r="C207" s="5" t="s">
        <v>153</v>
      </c>
      <c r="D207" s="5" t="s">
        <v>457</v>
      </c>
      <c r="E207" s="5" t="s">
        <v>458</v>
      </c>
      <c r="F207" s="5"/>
      <c r="G207" s="5" t="str">
        <f aca="false">IF(EXACT(D207,E207),"Tetap","Diubah")</f>
        <v>Diubah</v>
      </c>
      <c r="H207" s="5" t="s">
        <v>23</v>
      </c>
    </row>
    <row r="208" customFormat="false" ht="23.85" hidden="false" customHeight="false" outlineLevel="0" collapsed="false">
      <c r="A208" s="5" t="n">
        <v>207</v>
      </c>
      <c r="B208" s="5" t="s">
        <v>188</v>
      </c>
      <c r="C208" s="5" t="s">
        <v>156</v>
      </c>
      <c r="D208" s="5" t="s">
        <v>459</v>
      </c>
      <c r="E208" s="5" t="s">
        <v>460</v>
      </c>
      <c r="F208" s="5"/>
      <c r="G208" s="5" t="str">
        <f aca="false">IF(EXACT(D208,E208),"Tetap","Diubah")</f>
        <v>Diubah</v>
      </c>
      <c r="H208" s="5" t="s">
        <v>23</v>
      </c>
    </row>
    <row r="209" customFormat="false" ht="15" hidden="false" customHeight="false" outlineLevel="0" collapsed="false">
      <c r="A209" s="5" t="n">
        <v>208</v>
      </c>
      <c r="B209" s="5" t="s">
        <v>188</v>
      </c>
      <c r="C209" s="5" t="s">
        <v>20</v>
      </c>
      <c r="D209" s="5" t="s">
        <v>461</v>
      </c>
      <c r="E209" s="5" t="s">
        <v>462</v>
      </c>
      <c r="F209" s="5"/>
      <c r="G209" s="5" t="str">
        <f aca="false">IF(EXACT(D209,E209),"Tetap","Diubah")</f>
        <v>Diubah</v>
      </c>
      <c r="H209" s="5" t="s">
        <v>23</v>
      </c>
    </row>
    <row r="210" customFormat="false" ht="23.85" hidden="false" customHeight="false" outlineLevel="0" collapsed="false">
      <c r="A210" s="5" t="n">
        <v>209</v>
      </c>
      <c r="B210" s="5" t="s">
        <v>188</v>
      </c>
      <c r="C210" s="5" t="s">
        <v>153</v>
      </c>
      <c r="D210" s="5" t="s">
        <v>463</v>
      </c>
      <c r="E210" s="5" t="s">
        <v>464</v>
      </c>
      <c r="F210" s="5" t="s">
        <v>465</v>
      </c>
      <c r="G210" s="5" t="str">
        <f aca="false">IF(EXACT(D210,E210),"Tetap","Diubah")</f>
        <v>Diubah</v>
      </c>
      <c r="H210" s="5" t="s">
        <v>23</v>
      </c>
    </row>
    <row r="211" customFormat="false" ht="23.85" hidden="false" customHeight="false" outlineLevel="0" collapsed="false">
      <c r="A211" s="5" t="n">
        <v>210</v>
      </c>
      <c r="B211" s="5" t="s">
        <v>188</v>
      </c>
      <c r="C211" s="5" t="s">
        <v>156</v>
      </c>
      <c r="D211" s="5" t="s">
        <v>466</v>
      </c>
      <c r="E211" s="5" t="s">
        <v>467</v>
      </c>
      <c r="F211" s="5"/>
      <c r="G211" s="5" t="str">
        <f aca="false">IF(EXACT(D211,E211),"Tetap","Diubah")</f>
        <v>Diubah</v>
      </c>
      <c r="H211" s="5" t="s">
        <v>23</v>
      </c>
    </row>
    <row r="212" customFormat="false" ht="15" hidden="false" customHeight="false" outlineLevel="0" collapsed="false">
      <c r="A212" s="5" t="n">
        <v>211</v>
      </c>
      <c r="B212" s="5" t="s">
        <v>188</v>
      </c>
      <c r="C212" s="5" t="s">
        <v>156</v>
      </c>
      <c r="D212" s="5" t="s">
        <v>468</v>
      </c>
      <c r="E212" s="5" t="s">
        <v>468</v>
      </c>
      <c r="F212" s="5" t="s">
        <v>28</v>
      </c>
      <c r="G212" s="5" t="str">
        <f aca="false">IF(EXACT(D212,E212),"Tetap","Diubah")</f>
        <v>Tetap</v>
      </c>
      <c r="H212" s="5" t="s">
        <v>23</v>
      </c>
    </row>
    <row r="213" customFormat="false" ht="15" hidden="false" customHeight="false" outlineLevel="0" collapsed="false">
      <c r="A213" s="5" t="n">
        <v>212</v>
      </c>
      <c r="B213" s="5" t="s">
        <v>188</v>
      </c>
      <c r="C213" s="5" t="s">
        <v>20</v>
      </c>
      <c r="D213" s="5" t="s">
        <v>469</v>
      </c>
      <c r="E213" s="5" t="s">
        <v>470</v>
      </c>
      <c r="F213" s="5"/>
      <c r="G213" s="5" t="str">
        <f aca="false">IF(EXACT(D213,E213),"Tetap","Diubah")</f>
        <v>Diubah</v>
      </c>
      <c r="H213" s="5" t="s">
        <v>23</v>
      </c>
    </row>
    <row r="214" customFormat="false" ht="15" hidden="false" customHeight="false" outlineLevel="0" collapsed="false">
      <c r="A214" s="5" t="n">
        <v>213</v>
      </c>
      <c r="B214" s="5" t="s">
        <v>188</v>
      </c>
      <c r="C214" s="5" t="s">
        <v>153</v>
      </c>
      <c r="D214" s="5" t="s">
        <v>471</v>
      </c>
      <c r="E214" s="5" t="s">
        <v>472</v>
      </c>
      <c r="F214" s="5"/>
      <c r="G214" s="5" t="str">
        <f aca="false">IF(EXACT(D214,E214),"Tetap","Diubah")</f>
        <v>Diubah</v>
      </c>
      <c r="H214" s="5" t="s">
        <v>23</v>
      </c>
    </row>
    <row r="215" customFormat="false" ht="15" hidden="false" customHeight="false" outlineLevel="0" collapsed="false">
      <c r="A215" s="5" t="n">
        <v>214</v>
      </c>
      <c r="B215" s="5" t="s">
        <v>188</v>
      </c>
      <c r="C215" s="5" t="s">
        <v>90</v>
      </c>
      <c r="D215" s="5" t="s">
        <v>473</v>
      </c>
      <c r="E215" s="5" t="s">
        <v>474</v>
      </c>
      <c r="F215" s="5"/>
      <c r="G215" s="5" t="str">
        <f aca="false">IF(EXACT(D215,E215),"Tetap","Diubah")</f>
        <v>Diubah</v>
      </c>
      <c r="H215" s="5" t="s">
        <v>23</v>
      </c>
    </row>
    <row r="216" customFormat="false" ht="15" hidden="false" customHeight="false" outlineLevel="0" collapsed="false">
      <c r="A216" s="5" t="n">
        <v>215</v>
      </c>
      <c r="B216" s="5" t="s">
        <v>188</v>
      </c>
      <c r="C216" s="5" t="s">
        <v>90</v>
      </c>
      <c r="D216" s="5" t="s">
        <v>475</v>
      </c>
      <c r="E216" s="5" t="s">
        <v>476</v>
      </c>
      <c r="F216" s="5"/>
      <c r="G216" s="5" t="str">
        <f aca="false">IF(EXACT(D216,E216),"Tetap","Diubah")</f>
        <v>Diubah</v>
      </c>
      <c r="H216" s="5" t="s">
        <v>23</v>
      </c>
    </row>
    <row r="217" customFormat="false" ht="15" hidden="false" customHeight="false" outlineLevel="0" collapsed="false">
      <c r="A217" s="5" t="n">
        <v>216</v>
      </c>
      <c r="B217" s="5" t="s">
        <v>188</v>
      </c>
      <c r="C217" s="5" t="s">
        <v>130</v>
      </c>
      <c r="D217" s="5" t="s">
        <v>477</v>
      </c>
      <c r="E217" s="5" t="s">
        <v>478</v>
      </c>
      <c r="F217" s="5"/>
      <c r="G217" s="5" t="str">
        <f aca="false">IF(EXACT(D217,E217),"Tetap","Diubah")</f>
        <v>Diubah</v>
      </c>
      <c r="H217" s="5" t="s">
        <v>23</v>
      </c>
    </row>
    <row r="218" customFormat="false" ht="23.85" hidden="false" customHeight="false" outlineLevel="0" collapsed="false">
      <c r="A218" s="5" t="n">
        <v>217</v>
      </c>
      <c r="B218" s="5" t="s">
        <v>188</v>
      </c>
      <c r="C218" s="5" t="s">
        <v>163</v>
      </c>
      <c r="D218" s="5" t="s">
        <v>479</v>
      </c>
      <c r="E218" s="5" t="s">
        <v>480</v>
      </c>
      <c r="F218" s="5" t="s">
        <v>481</v>
      </c>
      <c r="G218" s="5" t="str">
        <f aca="false">IF(EXACT(D218,E218),"Tetap","Diubah")</f>
        <v>Diubah</v>
      </c>
      <c r="H218" s="5" t="s">
        <v>167</v>
      </c>
    </row>
    <row r="219" customFormat="false" ht="35.05" hidden="false" customHeight="false" outlineLevel="0" collapsed="false">
      <c r="A219" s="5" t="n">
        <v>218</v>
      </c>
      <c r="B219" s="5" t="s">
        <v>188</v>
      </c>
      <c r="C219" s="5" t="s">
        <v>482</v>
      </c>
      <c r="D219" s="5" t="s">
        <v>483</v>
      </c>
      <c r="E219" s="5" t="s">
        <v>484</v>
      </c>
      <c r="F219" s="5"/>
      <c r="G219" s="5" t="str">
        <f aca="false">IF(EXACT(D219,E219),"Tetap","Diubah")</f>
        <v>Diubah</v>
      </c>
      <c r="H219" s="5" t="s">
        <v>167</v>
      </c>
    </row>
    <row r="220" customFormat="false" ht="23.85" hidden="false" customHeight="false" outlineLevel="0" collapsed="false">
      <c r="A220" s="5" t="n">
        <v>219</v>
      </c>
      <c r="B220" s="5" t="s">
        <v>188</v>
      </c>
      <c r="C220" s="5" t="s">
        <v>485</v>
      </c>
      <c r="D220" s="5" t="s">
        <v>486</v>
      </c>
      <c r="E220" s="5" t="s">
        <v>487</v>
      </c>
      <c r="F220" s="5"/>
      <c r="G220" s="5" t="str">
        <f aca="false">IF(EXACT(D220,E220),"Tetap","Diubah")</f>
        <v>Diubah</v>
      </c>
      <c r="H220" s="5" t="s">
        <v>167</v>
      </c>
    </row>
    <row r="221" customFormat="false" ht="23.85" hidden="false" customHeight="false" outlineLevel="0" collapsed="false">
      <c r="A221" s="5" t="n">
        <v>220</v>
      </c>
      <c r="B221" s="5" t="s">
        <v>188</v>
      </c>
      <c r="C221" s="5" t="s">
        <v>488</v>
      </c>
      <c r="D221" s="5" t="s">
        <v>489</v>
      </c>
      <c r="E221" s="5" t="s">
        <v>490</v>
      </c>
      <c r="F221" s="5"/>
      <c r="G221" s="5" t="str">
        <f aca="false">IF(EXACT(D221,E221),"Tetap","Diubah")</f>
        <v>Diubah</v>
      </c>
      <c r="H221" s="5" t="s">
        <v>167</v>
      </c>
    </row>
    <row r="222" customFormat="false" ht="23.85" hidden="false" customHeight="false" outlineLevel="0" collapsed="false">
      <c r="A222" s="5" t="n">
        <v>221</v>
      </c>
      <c r="B222" s="5" t="s">
        <v>188</v>
      </c>
      <c r="C222" s="5" t="s">
        <v>163</v>
      </c>
      <c r="D222" s="5" t="s">
        <v>491</v>
      </c>
      <c r="E222" s="5" t="s">
        <v>492</v>
      </c>
      <c r="F222" s="5"/>
      <c r="G222" s="5" t="str">
        <f aca="false">IF(EXACT(D222,E222),"Tetap","Diubah")</f>
        <v>Diubah</v>
      </c>
      <c r="H222" s="5" t="s">
        <v>167</v>
      </c>
    </row>
    <row r="223" customFormat="false" ht="23.85" hidden="false" customHeight="false" outlineLevel="0" collapsed="false">
      <c r="A223" s="5" t="n">
        <v>222</v>
      </c>
      <c r="B223" s="5" t="s">
        <v>188</v>
      </c>
      <c r="C223" s="5" t="s">
        <v>163</v>
      </c>
      <c r="D223" s="5" t="s">
        <v>493</v>
      </c>
      <c r="E223" s="5" t="s">
        <v>494</v>
      </c>
      <c r="F223" s="5"/>
      <c r="G223" s="5" t="str">
        <f aca="false">IF(EXACT(D223,E223),"Tetap","Diubah")</f>
        <v>Diubah</v>
      </c>
      <c r="H223" s="5" t="s">
        <v>167</v>
      </c>
    </row>
    <row r="224" customFormat="false" ht="23.85" hidden="false" customHeight="false" outlineLevel="0" collapsed="false">
      <c r="A224" s="5" t="n">
        <v>223</v>
      </c>
      <c r="B224" s="5" t="s">
        <v>188</v>
      </c>
      <c r="C224" s="5" t="s">
        <v>163</v>
      </c>
      <c r="D224" s="5" t="s">
        <v>495</v>
      </c>
      <c r="E224" s="5" t="s">
        <v>495</v>
      </c>
      <c r="F224" s="5"/>
      <c r="G224" s="5" t="str">
        <f aca="false">IF(EXACT(D224,E224),"Tetap","Diubah")</f>
        <v>Tetap</v>
      </c>
      <c r="H224" s="5" t="s">
        <v>167</v>
      </c>
    </row>
    <row r="225" customFormat="false" ht="23.85" hidden="false" customHeight="false" outlineLevel="0" collapsed="false">
      <c r="A225" s="5" t="n">
        <v>224</v>
      </c>
      <c r="B225" s="5" t="s">
        <v>188</v>
      </c>
      <c r="C225" s="5" t="s">
        <v>175</v>
      </c>
      <c r="D225" s="5" t="s">
        <v>496</v>
      </c>
      <c r="E225" s="5" t="s">
        <v>497</v>
      </c>
      <c r="F225" s="5"/>
      <c r="G225" s="5" t="str">
        <f aca="false">IF(EXACT(D225,E225),"Tetap","Diubah")</f>
        <v>Diubah</v>
      </c>
      <c r="H225" s="5" t="s">
        <v>167</v>
      </c>
    </row>
    <row r="226" customFormat="false" ht="23.85" hidden="false" customHeight="false" outlineLevel="0" collapsed="false">
      <c r="A226" s="5" t="n">
        <v>225</v>
      </c>
      <c r="B226" s="5" t="s">
        <v>188</v>
      </c>
      <c r="C226" s="5" t="s">
        <v>163</v>
      </c>
      <c r="D226" s="5" t="s">
        <v>498</v>
      </c>
      <c r="E226" s="5" t="s">
        <v>499</v>
      </c>
      <c r="F226" s="5"/>
      <c r="G226" s="5" t="str">
        <f aca="false">IF(EXACT(D226,E226),"Tetap","Diubah")</f>
        <v>Diubah</v>
      </c>
      <c r="H226" s="5" t="s">
        <v>167</v>
      </c>
    </row>
    <row r="227" customFormat="false" ht="23.85" hidden="false" customHeight="false" outlineLevel="0" collapsed="false">
      <c r="A227" s="5" t="n">
        <v>226</v>
      </c>
      <c r="B227" s="5" t="s">
        <v>188</v>
      </c>
      <c r="C227" s="5" t="s">
        <v>163</v>
      </c>
      <c r="D227" s="5" t="s">
        <v>500</v>
      </c>
      <c r="E227" s="5" t="s">
        <v>501</v>
      </c>
      <c r="F227" s="5" t="s">
        <v>502</v>
      </c>
      <c r="G227" s="5" t="str">
        <f aca="false">IF(EXACT(D227,E227),"Tetap","Diubah")</f>
        <v>Diubah</v>
      </c>
      <c r="H227" s="5" t="s">
        <v>167</v>
      </c>
    </row>
    <row r="228" customFormat="false" ht="23.85" hidden="false" customHeight="false" outlineLevel="0" collapsed="false">
      <c r="A228" s="5" t="n">
        <v>227</v>
      </c>
      <c r="B228" s="5" t="s">
        <v>188</v>
      </c>
      <c r="C228" s="5" t="s">
        <v>163</v>
      </c>
      <c r="D228" s="5" t="s">
        <v>503</v>
      </c>
      <c r="E228" s="5" t="s">
        <v>504</v>
      </c>
      <c r="F228" s="5"/>
      <c r="G228" s="5" t="str">
        <f aca="false">IF(EXACT(D228,E228),"Tetap","Diubah")</f>
        <v>Diubah</v>
      </c>
      <c r="H228" s="5" t="s">
        <v>167</v>
      </c>
    </row>
    <row r="229" customFormat="false" ht="23.85" hidden="false" customHeight="false" outlineLevel="0" collapsed="false">
      <c r="A229" s="5" t="n">
        <v>228</v>
      </c>
      <c r="B229" s="5" t="s">
        <v>188</v>
      </c>
      <c r="C229" s="5" t="s">
        <v>163</v>
      </c>
      <c r="D229" s="5" t="s">
        <v>505</v>
      </c>
      <c r="E229" s="5" t="s">
        <v>506</v>
      </c>
      <c r="F229" s="5"/>
      <c r="G229" s="5" t="str">
        <f aca="false">IF(EXACT(D229,E229),"Tetap","Diubah")</f>
        <v>Diubah</v>
      </c>
      <c r="H229" s="5" t="s">
        <v>167</v>
      </c>
    </row>
    <row r="230" customFormat="false" ht="23.85" hidden="false" customHeight="false" outlineLevel="0" collapsed="false">
      <c r="A230" s="5" t="n">
        <v>229</v>
      </c>
      <c r="B230" s="5" t="s">
        <v>188</v>
      </c>
      <c r="C230" s="5" t="s">
        <v>163</v>
      </c>
      <c r="D230" s="5" t="s">
        <v>507</v>
      </c>
      <c r="E230" s="5" t="s">
        <v>508</v>
      </c>
      <c r="F230" s="5"/>
      <c r="G230" s="5" t="str">
        <f aca="false">IF(EXACT(D230,E230),"Tetap","Diubah")</f>
        <v>Diubah</v>
      </c>
      <c r="H230" s="5" t="s">
        <v>167</v>
      </c>
    </row>
    <row r="231" customFormat="false" ht="23.85" hidden="false" customHeight="false" outlineLevel="0" collapsed="false">
      <c r="A231" s="5" t="n">
        <v>230</v>
      </c>
      <c r="B231" s="5" t="s">
        <v>188</v>
      </c>
      <c r="C231" s="5" t="s">
        <v>163</v>
      </c>
      <c r="D231" s="5" t="s">
        <v>509</v>
      </c>
      <c r="E231" s="5" t="s">
        <v>510</v>
      </c>
      <c r="F231" s="5"/>
      <c r="G231" s="5" t="str">
        <f aca="false">IF(EXACT(D231,E231),"Tetap","Diubah")</f>
        <v>Diubah</v>
      </c>
      <c r="H231" s="5" t="s">
        <v>167</v>
      </c>
    </row>
    <row r="232" customFormat="false" ht="23.85" hidden="false" customHeight="false" outlineLevel="0" collapsed="false">
      <c r="A232" s="5" t="n">
        <v>231</v>
      </c>
      <c r="B232" s="5" t="s">
        <v>188</v>
      </c>
      <c r="C232" s="5" t="s">
        <v>163</v>
      </c>
      <c r="D232" s="5" t="s">
        <v>511</v>
      </c>
      <c r="E232" s="5" t="s">
        <v>512</v>
      </c>
      <c r="F232" s="5" t="s">
        <v>513</v>
      </c>
      <c r="G232" s="5" t="str">
        <f aca="false">IF(EXACT(D232,E232),"Tetap","Diubah")</f>
        <v>Diubah</v>
      </c>
      <c r="H232" s="5" t="s">
        <v>167</v>
      </c>
    </row>
    <row r="233" customFormat="false" ht="23.85" hidden="false" customHeight="false" outlineLevel="0" collapsed="false">
      <c r="A233" s="5" t="n">
        <v>232</v>
      </c>
      <c r="B233" s="5" t="s">
        <v>188</v>
      </c>
      <c r="C233" s="5" t="s">
        <v>163</v>
      </c>
      <c r="D233" s="5" t="s">
        <v>514</v>
      </c>
      <c r="E233" s="5" t="s">
        <v>515</v>
      </c>
      <c r="F233" s="5"/>
      <c r="G233" s="5" t="str">
        <f aca="false">IF(EXACT(D233,E233),"Tetap","Diubah")</f>
        <v>Diubah</v>
      </c>
      <c r="H233" s="5" t="s">
        <v>167</v>
      </c>
    </row>
    <row r="234" customFormat="false" ht="23.85" hidden="false" customHeight="false" outlineLevel="0" collapsed="false">
      <c r="A234" s="5" t="n">
        <v>233</v>
      </c>
      <c r="B234" s="5" t="s">
        <v>188</v>
      </c>
      <c r="C234" s="5" t="s">
        <v>163</v>
      </c>
      <c r="D234" s="5" t="s">
        <v>516</v>
      </c>
      <c r="E234" s="5" t="s">
        <v>517</v>
      </c>
      <c r="F234" s="5"/>
      <c r="G234" s="5" t="str">
        <f aca="false">IF(EXACT(D234,E234),"Tetap","Diubah")</f>
        <v>Diubah</v>
      </c>
      <c r="H234" s="5" t="s">
        <v>167</v>
      </c>
    </row>
    <row r="235" customFormat="false" ht="23.85" hidden="false" customHeight="false" outlineLevel="0" collapsed="false">
      <c r="A235" s="5" t="n">
        <v>234</v>
      </c>
      <c r="B235" s="5" t="s">
        <v>188</v>
      </c>
      <c r="C235" s="5" t="s">
        <v>163</v>
      </c>
      <c r="D235" s="5" t="s">
        <v>518</v>
      </c>
      <c r="E235" s="5" t="s">
        <v>519</v>
      </c>
      <c r="F235" s="5" t="s">
        <v>520</v>
      </c>
      <c r="G235" s="5" t="str">
        <f aca="false">IF(EXACT(D235,E235),"Tetap","Diubah")</f>
        <v>Diubah</v>
      </c>
      <c r="H235" s="5" t="s">
        <v>167</v>
      </c>
    </row>
    <row r="236" customFormat="false" ht="23.85" hidden="false" customHeight="false" outlineLevel="0" collapsed="false">
      <c r="A236" s="5" t="n">
        <v>235</v>
      </c>
      <c r="B236" s="5" t="s">
        <v>188</v>
      </c>
      <c r="C236" s="5" t="s">
        <v>163</v>
      </c>
      <c r="D236" s="5" t="s">
        <v>521</v>
      </c>
      <c r="E236" s="5" t="s">
        <v>522</v>
      </c>
      <c r="F236" s="5"/>
      <c r="G236" s="5" t="str">
        <f aca="false">IF(EXACT(D236,E236),"Tetap","Diubah")</f>
        <v>Diubah</v>
      </c>
      <c r="H236" s="5" t="s">
        <v>167</v>
      </c>
    </row>
    <row r="237" customFormat="false" ht="35.05" hidden="false" customHeight="false" outlineLevel="0" collapsed="false">
      <c r="A237" s="5" t="n">
        <v>236</v>
      </c>
      <c r="B237" s="5" t="s">
        <v>188</v>
      </c>
      <c r="C237" s="5" t="s">
        <v>482</v>
      </c>
      <c r="D237" s="5" t="s">
        <v>523</v>
      </c>
      <c r="E237" s="5" t="s">
        <v>524</v>
      </c>
      <c r="F237" s="5" t="s">
        <v>525</v>
      </c>
      <c r="G237" s="5" t="str">
        <f aca="false">IF(EXACT(D237,E237),"Tetap","Diubah")</f>
        <v>Diubah</v>
      </c>
      <c r="H237" s="5" t="s">
        <v>167</v>
      </c>
    </row>
    <row r="238" customFormat="false" ht="23.85" hidden="false" customHeight="false" outlineLevel="0" collapsed="false">
      <c r="A238" s="5" t="n">
        <v>237</v>
      </c>
      <c r="B238" s="5" t="s">
        <v>188</v>
      </c>
      <c r="C238" s="5" t="s">
        <v>488</v>
      </c>
      <c r="D238" s="5" t="s">
        <v>526</v>
      </c>
      <c r="E238" s="5" t="s">
        <v>527</v>
      </c>
      <c r="F238" s="5"/>
      <c r="G238" s="5" t="str">
        <f aca="false">IF(EXACT(D238,E238),"Tetap","Diubah")</f>
        <v>Diubah</v>
      </c>
      <c r="H238" s="5" t="s">
        <v>167</v>
      </c>
    </row>
    <row r="239" customFormat="false" ht="23.85" hidden="false" customHeight="false" outlineLevel="0" collapsed="false">
      <c r="A239" s="5" t="n">
        <v>238</v>
      </c>
      <c r="B239" s="5" t="s">
        <v>188</v>
      </c>
      <c r="C239" s="5" t="s">
        <v>488</v>
      </c>
      <c r="D239" s="5" t="s">
        <v>528</v>
      </c>
      <c r="E239" s="5" t="s">
        <v>529</v>
      </c>
      <c r="F239" s="5"/>
      <c r="G239" s="5" t="str">
        <f aca="false">IF(EXACT(D239,E239),"Tetap","Diubah")</f>
        <v>Diubah</v>
      </c>
      <c r="H239" s="5" t="s">
        <v>167</v>
      </c>
    </row>
    <row r="240" customFormat="false" ht="23.85" hidden="false" customHeight="false" outlineLevel="0" collapsed="false">
      <c r="A240" s="5" t="n">
        <v>239</v>
      </c>
      <c r="B240" s="5" t="s">
        <v>188</v>
      </c>
      <c r="C240" s="5" t="s">
        <v>175</v>
      </c>
      <c r="D240" s="5" t="s">
        <v>530</v>
      </c>
      <c r="E240" s="5" t="s">
        <v>531</v>
      </c>
      <c r="F240" s="5"/>
      <c r="G240" s="5" t="str">
        <f aca="false">IF(EXACT(D240,E240),"Tetap","Diubah")</f>
        <v>Diubah</v>
      </c>
      <c r="H240" s="5" t="s">
        <v>167</v>
      </c>
    </row>
    <row r="241" customFormat="false" ht="23.85" hidden="false" customHeight="false" outlineLevel="0" collapsed="false">
      <c r="A241" s="5" t="n">
        <v>240</v>
      </c>
      <c r="B241" s="5" t="s">
        <v>188</v>
      </c>
      <c r="C241" s="5" t="s">
        <v>163</v>
      </c>
      <c r="D241" s="5" t="s">
        <v>532</v>
      </c>
      <c r="E241" s="5" t="s">
        <v>533</v>
      </c>
      <c r="F241" s="5"/>
      <c r="G241" s="5" t="str">
        <f aca="false">IF(EXACT(D241,E241),"Tetap","Diubah")</f>
        <v>Diubah</v>
      </c>
      <c r="H241" s="5" t="s">
        <v>167</v>
      </c>
    </row>
    <row r="242" customFormat="false" ht="23.85" hidden="false" customHeight="false" outlineLevel="0" collapsed="false">
      <c r="A242" s="5" t="n">
        <v>241</v>
      </c>
      <c r="B242" s="5" t="s">
        <v>188</v>
      </c>
      <c r="C242" s="5" t="s">
        <v>488</v>
      </c>
      <c r="D242" s="5" t="s">
        <v>534</v>
      </c>
      <c r="E242" s="5" t="s">
        <v>535</v>
      </c>
      <c r="F242" s="5"/>
      <c r="G242" s="5" t="str">
        <f aca="false">IF(EXACT(D242,E242),"Tetap","Diubah")</f>
        <v>Diubah</v>
      </c>
      <c r="H242" s="5" t="s">
        <v>167</v>
      </c>
    </row>
    <row r="243" customFormat="false" ht="23.85" hidden="false" customHeight="false" outlineLevel="0" collapsed="false">
      <c r="A243" s="5" t="n">
        <v>242</v>
      </c>
      <c r="B243" s="5" t="s">
        <v>188</v>
      </c>
      <c r="C243" s="5" t="s">
        <v>163</v>
      </c>
      <c r="D243" s="5" t="s">
        <v>536</v>
      </c>
      <c r="E243" s="5" t="s">
        <v>537</v>
      </c>
      <c r="F243" s="5"/>
      <c r="G243" s="5" t="str">
        <f aca="false">IF(EXACT(D243,E243),"Tetap","Diubah")</f>
        <v>Diubah</v>
      </c>
      <c r="H243" s="5" t="s">
        <v>167</v>
      </c>
    </row>
    <row r="244" customFormat="false" ht="23.85" hidden="false" customHeight="false" outlineLevel="0" collapsed="false">
      <c r="A244" s="5" t="n">
        <v>243</v>
      </c>
      <c r="B244" s="5" t="s">
        <v>188</v>
      </c>
      <c r="C244" s="5" t="s">
        <v>163</v>
      </c>
      <c r="D244" s="5" t="s">
        <v>538</v>
      </c>
      <c r="E244" s="5" t="s">
        <v>539</v>
      </c>
      <c r="F244" s="5"/>
      <c r="G244" s="5" t="str">
        <f aca="false">IF(EXACT(D244,E244),"Tetap","Diubah")</f>
        <v>Diubah</v>
      </c>
      <c r="H244" s="5" t="s">
        <v>167</v>
      </c>
    </row>
    <row r="245" customFormat="false" ht="35.05" hidden="false" customHeight="false" outlineLevel="0" collapsed="false">
      <c r="A245" s="5" t="n">
        <v>244</v>
      </c>
      <c r="B245" s="5" t="s">
        <v>188</v>
      </c>
      <c r="C245" s="5" t="s">
        <v>482</v>
      </c>
      <c r="D245" s="5" t="s">
        <v>540</v>
      </c>
      <c r="E245" s="5" t="s">
        <v>541</v>
      </c>
      <c r="F245" s="5"/>
      <c r="G245" s="5" t="str">
        <f aca="false">IF(EXACT(D245,E245),"Tetap","Diubah")</f>
        <v>Diubah</v>
      </c>
      <c r="H245" s="5" t="s">
        <v>167</v>
      </c>
    </row>
    <row r="246" customFormat="false" ht="23.85" hidden="false" customHeight="false" outlineLevel="0" collapsed="false">
      <c r="A246" s="5" t="n">
        <v>245</v>
      </c>
      <c r="B246" s="5" t="s">
        <v>188</v>
      </c>
      <c r="C246" s="5" t="s">
        <v>485</v>
      </c>
      <c r="D246" s="5" t="s">
        <v>542</v>
      </c>
      <c r="E246" s="5" t="s">
        <v>543</v>
      </c>
      <c r="F246" s="5"/>
      <c r="G246" s="5" t="str">
        <f aca="false">IF(EXACT(D246,E246),"Tetap","Diubah")</f>
        <v>Diubah</v>
      </c>
      <c r="H246" s="5" t="s">
        <v>167</v>
      </c>
    </row>
    <row r="247" customFormat="false" ht="46.25" hidden="false" customHeight="false" outlineLevel="0" collapsed="false">
      <c r="A247" s="5" t="n">
        <v>246</v>
      </c>
      <c r="B247" s="5" t="s">
        <v>188</v>
      </c>
      <c r="C247" s="5" t="s">
        <v>175</v>
      </c>
      <c r="D247" s="5" t="s">
        <v>544</v>
      </c>
      <c r="E247" s="5" t="s">
        <v>545</v>
      </c>
      <c r="F247" s="5"/>
      <c r="G247" s="5" t="str">
        <f aca="false">IF(EXACT(D247,E247),"Tetap","Diubah")</f>
        <v>Diubah</v>
      </c>
      <c r="H247" s="5" t="s">
        <v>167</v>
      </c>
    </row>
    <row r="248" customFormat="false" ht="35.05" hidden="false" customHeight="false" outlineLevel="0" collapsed="false">
      <c r="A248" s="5" t="n">
        <v>247</v>
      </c>
      <c r="B248" s="5" t="s">
        <v>188</v>
      </c>
      <c r="C248" s="5" t="s">
        <v>175</v>
      </c>
      <c r="D248" s="5" t="s">
        <v>546</v>
      </c>
      <c r="E248" s="5" t="s">
        <v>547</v>
      </c>
      <c r="F248" s="5"/>
      <c r="G248" s="5" t="str">
        <f aca="false">IF(EXACT(D248,E248),"Tetap","Diubah")</f>
        <v>Diubah</v>
      </c>
      <c r="H248" s="5" t="s">
        <v>167</v>
      </c>
    </row>
    <row r="249" customFormat="false" ht="23.85" hidden="false" customHeight="false" outlineLevel="0" collapsed="false">
      <c r="A249" s="5" t="n">
        <v>248</v>
      </c>
      <c r="B249" s="5" t="s">
        <v>188</v>
      </c>
      <c r="C249" s="5" t="s">
        <v>163</v>
      </c>
      <c r="D249" s="5" t="s">
        <v>548</v>
      </c>
      <c r="E249" s="5" t="s">
        <v>549</v>
      </c>
      <c r="F249" s="5"/>
      <c r="G249" s="5" t="str">
        <f aca="false">IF(EXACT(D249,E249),"Tetap","Diubah")</f>
        <v>Diubah</v>
      </c>
      <c r="H249" s="5" t="s">
        <v>167</v>
      </c>
    </row>
    <row r="250" customFormat="false" ht="23.85" hidden="false" customHeight="false" outlineLevel="0" collapsed="false">
      <c r="A250" s="5" t="n">
        <v>249</v>
      </c>
      <c r="B250" s="5" t="s">
        <v>188</v>
      </c>
      <c r="C250" s="5" t="s">
        <v>175</v>
      </c>
      <c r="D250" s="5" t="s">
        <v>550</v>
      </c>
      <c r="E250" s="5" t="s">
        <v>551</v>
      </c>
      <c r="F250" s="5"/>
      <c r="G250" s="5" t="str">
        <f aca="false">IF(EXACT(D250,E250),"Tetap","Diubah")</f>
        <v>Diubah</v>
      </c>
      <c r="H250" s="5" t="s">
        <v>167</v>
      </c>
    </row>
    <row r="251" customFormat="false" ht="23.85" hidden="false" customHeight="false" outlineLevel="0" collapsed="false">
      <c r="A251" s="5" t="n">
        <v>250</v>
      </c>
      <c r="B251" s="5" t="s">
        <v>188</v>
      </c>
      <c r="C251" s="5" t="s">
        <v>175</v>
      </c>
      <c r="D251" s="5" t="s">
        <v>552</v>
      </c>
      <c r="E251" s="5" t="s">
        <v>552</v>
      </c>
      <c r="F251" s="5"/>
      <c r="G251" s="5" t="str">
        <f aca="false">IF(EXACT(D251,E251),"Tetap","Diubah")</f>
        <v>Tetap</v>
      </c>
      <c r="H251" s="5" t="s">
        <v>167</v>
      </c>
    </row>
    <row r="252" customFormat="false" ht="35.05" hidden="false" customHeight="false" outlineLevel="0" collapsed="false">
      <c r="A252" s="5" t="n">
        <v>251</v>
      </c>
      <c r="B252" s="5" t="s">
        <v>188</v>
      </c>
      <c r="C252" s="5" t="s">
        <v>482</v>
      </c>
      <c r="D252" s="5" t="s">
        <v>553</v>
      </c>
      <c r="E252" s="5" t="s">
        <v>554</v>
      </c>
      <c r="F252" s="5"/>
      <c r="G252" s="5" t="str">
        <f aca="false">IF(EXACT(D252,E252),"Tetap","Diubah")</f>
        <v>Diubah</v>
      </c>
      <c r="H252" s="5" t="s">
        <v>167</v>
      </c>
    </row>
    <row r="253" customFormat="false" ht="23.85" hidden="false" customHeight="false" outlineLevel="0" collapsed="false">
      <c r="A253" s="5" t="n">
        <v>252</v>
      </c>
      <c r="B253" s="5" t="s">
        <v>188</v>
      </c>
      <c r="C253" s="5" t="s">
        <v>163</v>
      </c>
      <c r="D253" s="5" t="s">
        <v>555</v>
      </c>
      <c r="E253" s="5" t="s">
        <v>556</v>
      </c>
      <c r="F253" s="5"/>
      <c r="G253" s="5" t="str">
        <f aca="false">IF(EXACT(D253,E253),"Tetap","Diubah")</f>
        <v>Diubah</v>
      </c>
      <c r="H253" s="5" t="s">
        <v>167</v>
      </c>
    </row>
    <row r="254" customFormat="false" ht="23.85" hidden="false" customHeight="false" outlineLevel="0" collapsed="false">
      <c r="A254" s="5" t="n">
        <v>253</v>
      </c>
      <c r="B254" s="5" t="s">
        <v>188</v>
      </c>
      <c r="C254" s="5" t="s">
        <v>488</v>
      </c>
      <c r="D254" s="5" t="s">
        <v>557</v>
      </c>
      <c r="E254" s="5" t="s">
        <v>557</v>
      </c>
      <c r="F254" s="5"/>
      <c r="G254" s="5" t="str">
        <f aca="false">IF(EXACT(D254,E254),"Tetap","Diubah")</f>
        <v>Tetap</v>
      </c>
      <c r="H254" s="5" t="s">
        <v>167</v>
      </c>
    </row>
    <row r="255" customFormat="false" ht="23.85" hidden="false" customHeight="false" outlineLevel="0" collapsed="false">
      <c r="A255" s="5" t="n">
        <v>254</v>
      </c>
      <c r="B255" s="5" t="s">
        <v>188</v>
      </c>
      <c r="C255" s="5" t="s">
        <v>163</v>
      </c>
      <c r="D255" s="5" t="s">
        <v>558</v>
      </c>
      <c r="E255" s="5" t="s">
        <v>559</v>
      </c>
      <c r="F255" s="5"/>
      <c r="G255" s="5" t="str">
        <f aca="false">IF(EXACT(D255,E255),"Tetap","Diubah")</f>
        <v>Diubah</v>
      </c>
      <c r="H255" s="5" t="s">
        <v>167</v>
      </c>
    </row>
    <row r="256" customFormat="false" ht="23.85" hidden="false" customHeight="false" outlineLevel="0" collapsed="false">
      <c r="A256" s="5" t="n">
        <v>255</v>
      </c>
      <c r="B256" s="5" t="s">
        <v>188</v>
      </c>
      <c r="C256" s="5" t="s">
        <v>163</v>
      </c>
      <c r="D256" s="5" t="s">
        <v>560</v>
      </c>
      <c r="E256" s="5" t="s">
        <v>561</v>
      </c>
      <c r="F256" s="5"/>
      <c r="G256" s="5" t="str">
        <f aca="false">IF(EXACT(D256,E256),"Tetap","Diubah")</f>
        <v>Diubah</v>
      </c>
      <c r="H256" s="5" t="s">
        <v>167</v>
      </c>
    </row>
    <row r="257" customFormat="false" ht="35.05" hidden="false" customHeight="false" outlineLevel="0" collapsed="false">
      <c r="A257" s="5" t="n">
        <v>256</v>
      </c>
      <c r="B257" s="5" t="s">
        <v>188</v>
      </c>
      <c r="C257" s="5" t="s">
        <v>175</v>
      </c>
      <c r="D257" s="5" t="s">
        <v>562</v>
      </c>
      <c r="E257" s="5" t="s">
        <v>563</v>
      </c>
      <c r="F257" s="5"/>
      <c r="G257" s="5" t="str">
        <f aca="false">IF(EXACT(D257,E257),"Tetap","Diubah")</f>
        <v>Diubah</v>
      </c>
      <c r="H257" s="5" t="s">
        <v>167</v>
      </c>
    </row>
    <row r="258" customFormat="false" ht="23.85" hidden="false" customHeight="false" outlineLevel="0" collapsed="false">
      <c r="A258" s="5" t="n">
        <v>257</v>
      </c>
      <c r="B258" s="5" t="s">
        <v>188</v>
      </c>
      <c r="C258" s="5" t="s">
        <v>163</v>
      </c>
      <c r="D258" s="5" t="s">
        <v>564</v>
      </c>
      <c r="E258" s="5" t="s">
        <v>565</v>
      </c>
      <c r="F258" s="5"/>
      <c r="G258" s="5" t="str">
        <f aca="false">IF(EXACT(D258,E258),"Tetap","Diubah")</f>
        <v>Diubah</v>
      </c>
      <c r="H258" s="5" t="s">
        <v>167</v>
      </c>
    </row>
    <row r="259" customFormat="false" ht="23.85" hidden="false" customHeight="false" outlineLevel="0" collapsed="false">
      <c r="A259" s="5" t="n">
        <v>258</v>
      </c>
      <c r="B259" s="5" t="s">
        <v>188</v>
      </c>
      <c r="C259" s="5" t="s">
        <v>488</v>
      </c>
      <c r="D259" s="5" t="s">
        <v>566</v>
      </c>
      <c r="E259" s="5" t="s">
        <v>567</v>
      </c>
      <c r="F259" s="5"/>
      <c r="G259" s="5" t="str">
        <f aca="false">IF(EXACT(D259,E259),"Tetap","Diubah")</f>
        <v>Diubah</v>
      </c>
      <c r="H259" s="5" t="s">
        <v>167</v>
      </c>
    </row>
    <row r="260" customFormat="false" ht="23.85" hidden="false" customHeight="false" outlineLevel="0" collapsed="false">
      <c r="A260" s="5" t="n">
        <v>259</v>
      </c>
      <c r="B260" s="5" t="s">
        <v>188</v>
      </c>
      <c r="C260" s="5" t="s">
        <v>163</v>
      </c>
      <c r="D260" s="5" t="s">
        <v>568</v>
      </c>
      <c r="E260" s="5" t="s">
        <v>569</v>
      </c>
      <c r="F260" s="5"/>
      <c r="G260" s="5" t="str">
        <f aca="false">IF(EXACT(D260,E260),"Tetap","Diubah")</f>
        <v>Diubah</v>
      </c>
      <c r="H260" s="5" t="s">
        <v>167</v>
      </c>
    </row>
    <row r="261" customFormat="false" ht="23.85" hidden="false" customHeight="false" outlineLevel="0" collapsed="false">
      <c r="A261" s="5" t="n">
        <v>260</v>
      </c>
      <c r="B261" s="5" t="s">
        <v>188</v>
      </c>
      <c r="C261" s="5" t="s">
        <v>163</v>
      </c>
      <c r="D261" s="5" t="s">
        <v>570</v>
      </c>
      <c r="E261" s="5" t="s">
        <v>571</v>
      </c>
      <c r="F261" s="5" t="s">
        <v>572</v>
      </c>
      <c r="G261" s="5" t="str">
        <f aca="false">IF(EXACT(D261,E261),"Tetap","Diubah")</f>
        <v>Diubah</v>
      </c>
      <c r="H261" s="5" t="s">
        <v>167</v>
      </c>
    </row>
    <row r="262" customFormat="false" ht="23.85" hidden="false" customHeight="false" outlineLevel="0" collapsed="false">
      <c r="A262" s="5" t="n">
        <v>261</v>
      </c>
      <c r="B262" s="5" t="s">
        <v>188</v>
      </c>
      <c r="C262" s="5" t="s">
        <v>163</v>
      </c>
      <c r="D262" s="5" t="s">
        <v>573</v>
      </c>
      <c r="E262" s="5" t="s">
        <v>574</v>
      </c>
      <c r="F262" s="5"/>
      <c r="G262" s="5" t="str">
        <f aca="false">IF(EXACT(D262,E262),"Tetap","Diubah")</f>
        <v>Diubah</v>
      </c>
      <c r="H262" s="5" t="s">
        <v>167</v>
      </c>
    </row>
    <row r="263" customFormat="false" ht="23.85" hidden="false" customHeight="false" outlineLevel="0" collapsed="false">
      <c r="A263" s="5" t="n">
        <v>262</v>
      </c>
      <c r="B263" s="5" t="s">
        <v>188</v>
      </c>
      <c r="C263" s="5" t="s">
        <v>175</v>
      </c>
      <c r="D263" s="5" t="s">
        <v>575</v>
      </c>
      <c r="E263" s="5" t="s">
        <v>576</v>
      </c>
      <c r="F263" s="5" t="s">
        <v>577</v>
      </c>
      <c r="G263" s="5" t="str">
        <f aca="false">IF(EXACT(D263,E263),"Tetap","Diubah")</f>
        <v>Diubah</v>
      </c>
      <c r="H263" s="5" t="s">
        <v>167</v>
      </c>
    </row>
    <row r="264" customFormat="false" ht="35.05" hidden="false" customHeight="false" outlineLevel="0" collapsed="false">
      <c r="A264" s="5" t="n">
        <v>263</v>
      </c>
      <c r="B264" s="5" t="s">
        <v>188</v>
      </c>
      <c r="C264" s="5" t="s">
        <v>175</v>
      </c>
      <c r="D264" s="5" t="s">
        <v>578</v>
      </c>
      <c r="E264" s="5" t="s">
        <v>579</v>
      </c>
      <c r="F264" s="5"/>
      <c r="G264" s="5" t="str">
        <f aca="false">IF(EXACT(D264,E264),"Tetap","Diubah")</f>
        <v>Diubah</v>
      </c>
      <c r="H264" s="5" t="s">
        <v>167</v>
      </c>
    </row>
    <row r="265" customFormat="false" ht="23.85" hidden="false" customHeight="false" outlineLevel="0" collapsed="false">
      <c r="A265" s="5" t="n">
        <v>264</v>
      </c>
      <c r="B265" s="5" t="s">
        <v>188</v>
      </c>
      <c r="C265" s="5" t="s">
        <v>163</v>
      </c>
      <c r="D265" s="5" t="s">
        <v>580</v>
      </c>
      <c r="E265" s="5" t="s">
        <v>581</v>
      </c>
      <c r="F265" s="5"/>
      <c r="G265" s="5" t="str">
        <f aca="false">IF(EXACT(D265,E265),"Tetap","Diubah")</f>
        <v>Diubah</v>
      </c>
      <c r="H265" s="5" t="s">
        <v>167</v>
      </c>
    </row>
    <row r="266" customFormat="false" ht="23.85" hidden="false" customHeight="false" outlineLevel="0" collapsed="false">
      <c r="A266" s="5" t="n">
        <v>265</v>
      </c>
      <c r="B266" s="5" t="s">
        <v>188</v>
      </c>
      <c r="C266" s="5" t="s">
        <v>488</v>
      </c>
      <c r="D266" s="5" t="s">
        <v>582</v>
      </c>
      <c r="E266" s="5" t="s">
        <v>582</v>
      </c>
      <c r="F266" s="5"/>
      <c r="G266" s="5" t="str">
        <f aca="false">IF(EXACT(D266,E266),"Tetap","Diubah")</f>
        <v>Tetap</v>
      </c>
      <c r="H266" s="5" t="s">
        <v>167</v>
      </c>
    </row>
    <row r="267" customFormat="false" ht="23.85" hidden="false" customHeight="false" outlineLevel="0" collapsed="false">
      <c r="A267" s="5" t="n">
        <v>266</v>
      </c>
      <c r="B267" s="5" t="s">
        <v>188</v>
      </c>
      <c r="C267" s="5" t="s">
        <v>163</v>
      </c>
      <c r="D267" s="5" t="s">
        <v>583</v>
      </c>
      <c r="E267" s="5" t="s">
        <v>584</v>
      </c>
      <c r="F267" s="5" t="s">
        <v>71</v>
      </c>
      <c r="G267" s="5" t="str">
        <f aca="false">IF(EXACT(D267,E267),"Tetap","Diubah")</f>
        <v>Diubah</v>
      </c>
      <c r="H267" s="5" t="s">
        <v>167</v>
      </c>
    </row>
    <row r="268" customFormat="false" ht="23.85" hidden="false" customHeight="false" outlineLevel="0" collapsed="false">
      <c r="A268" s="5" t="n">
        <v>267</v>
      </c>
      <c r="B268" s="5" t="s">
        <v>188</v>
      </c>
      <c r="C268" s="5" t="s">
        <v>175</v>
      </c>
      <c r="D268" s="5" t="s">
        <v>585</v>
      </c>
      <c r="E268" s="5" t="s">
        <v>586</v>
      </c>
      <c r="F268" s="5"/>
      <c r="G268" s="5" t="str">
        <f aca="false">IF(EXACT(D268,E268),"Tetap","Diubah")</f>
        <v>Diubah</v>
      </c>
      <c r="H268" s="5" t="s">
        <v>167</v>
      </c>
    </row>
    <row r="269" customFormat="false" ht="23.85" hidden="false" customHeight="false" outlineLevel="0" collapsed="false">
      <c r="A269" s="5" t="n">
        <v>268</v>
      </c>
      <c r="B269" s="5" t="s">
        <v>188</v>
      </c>
      <c r="C269" s="5" t="s">
        <v>175</v>
      </c>
      <c r="D269" s="5" t="s">
        <v>587</v>
      </c>
      <c r="E269" s="5" t="s">
        <v>588</v>
      </c>
      <c r="F269" s="5"/>
      <c r="G269" s="5" t="str">
        <f aca="false">IF(EXACT(D269,E269),"Tetap","Diubah")</f>
        <v>Diubah</v>
      </c>
      <c r="H269" s="5" t="s">
        <v>167</v>
      </c>
    </row>
    <row r="270" customFormat="false" ht="23.85" hidden="false" customHeight="false" outlineLevel="0" collapsed="false">
      <c r="A270" s="5" t="n">
        <v>269</v>
      </c>
      <c r="B270" s="5" t="s">
        <v>188</v>
      </c>
      <c r="C270" s="5" t="s">
        <v>163</v>
      </c>
      <c r="D270" s="5" t="s">
        <v>589</v>
      </c>
      <c r="E270" s="5" t="s">
        <v>590</v>
      </c>
      <c r="F270" s="5"/>
      <c r="G270" s="5" t="str">
        <f aca="false">IF(EXACT(D270,E270),"Tetap","Diubah")</f>
        <v>Diubah</v>
      </c>
      <c r="H270" s="5" t="s">
        <v>167</v>
      </c>
    </row>
    <row r="271" customFormat="false" ht="23.85" hidden="false" customHeight="false" outlineLevel="0" collapsed="false">
      <c r="A271" s="5" t="n">
        <v>270</v>
      </c>
      <c r="B271" s="5" t="s">
        <v>188</v>
      </c>
      <c r="C271" s="5" t="s">
        <v>163</v>
      </c>
      <c r="D271" s="5" t="s">
        <v>591</v>
      </c>
      <c r="E271" s="5" t="s">
        <v>592</v>
      </c>
      <c r="F271" s="5"/>
      <c r="G271" s="5" t="str">
        <f aca="false">IF(EXACT(D271,E271),"Tetap","Diubah")</f>
        <v>Diubah</v>
      </c>
      <c r="H271" s="5" t="s">
        <v>167</v>
      </c>
    </row>
    <row r="272" customFormat="false" ht="23.85" hidden="false" customHeight="false" outlineLevel="0" collapsed="false">
      <c r="A272" s="5" t="n">
        <v>271</v>
      </c>
      <c r="B272" s="5" t="s">
        <v>188</v>
      </c>
      <c r="C272" s="5" t="s">
        <v>163</v>
      </c>
      <c r="D272" s="5" t="s">
        <v>593</v>
      </c>
      <c r="E272" s="5" t="s">
        <v>594</v>
      </c>
      <c r="F272" s="5"/>
      <c r="G272" s="5" t="str">
        <f aca="false">IF(EXACT(D272,E272),"Tetap","Diubah")</f>
        <v>Diubah</v>
      </c>
      <c r="H272" s="5" t="s">
        <v>167</v>
      </c>
    </row>
    <row r="273" customFormat="false" ht="23.85" hidden="false" customHeight="false" outlineLevel="0" collapsed="false">
      <c r="A273" s="5" t="n">
        <v>272</v>
      </c>
      <c r="B273" s="5" t="s">
        <v>188</v>
      </c>
      <c r="C273" s="5" t="s">
        <v>482</v>
      </c>
      <c r="D273" s="5" t="s">
        <v>595</v>
      </c>
      <c r="E273" s="5" t="s">
        <v>596</v>
      </c>
      <c r="F273" s="5"/>
      <c r="G273" s="5" t="str">
        <f aca="false">IF(EXACT(D273,E273),"Tetap","Diubah")</f>
        <v>Diubah</v>
      </c>
      <c r="H273" s="5" t="s">
        <v>167</v>
      </c>
    </row>
    <row r="274" customFormat="false" ht="23.85" hidden="false" customHeight="false" outlineLevel="0" collapsed="false">
      <c r="A274" s="5" t="n">
        <v>273</v>
      </c>
      <c r="B274" s="5" t="s">
        <v>188</v>
      </c>
      <c r="C274" s="5" t="s">
        <v>485</v>
      </c>
      <c r="D274" s="5" t="s">
        <v>597</v>
      </c>
      <c r="E274" s="5" t="s">
        <v>598</v>
      </c>
      <c r="F274" s="5"/>
      <c r="G274" s="5" t="str">
        <f aca="false">IF(EXACT(D274,E274),"Tetap","Diubah")</f>
        <v>Diubah</v>
      </c>
      <c r="H274" s="5" t="s">
        <v>167</v>
      </c>
    </row>
    <row r="275" customFormat="false" ht="23.85" hidden="false" customHeight="false" outlineLevel="0" collapsed="false">
      <c r="A275" s="5" t="n">
        <v>274</v>
      </c>
      <c r="B275" s="5" t="s">
        <v>188</v>
      </c>
      <c r="C275" s="5" t="s">
        <v>45</v>
      </c>
      <c r="D275" s="5" t="s">
        <v>599</v>
      </c>
      <c r="E275" s="5" t="s">
        <v>600</v>
      </c>
      <c r="F275" s="5"/>
      <c r="G275" s="5" t="str">
        <f aca="false">IF(EXACT(D275,E275),"Tetap","Diubah")</f>
        <v>Diubah</v>
      </c>
      <c r="H275" s="5" t="s">
        <v>167</v>
      </c>
    </row>
    <row r="276" customFormat="false" ht="23.85" hidden="false" customHeight="false" outlineLevel="0" collapsed="false">
      <c r="A276" s="5" t="n">
        <v>275</v>
      </c>
      <c r="B276" s="5" t="s">
        <v>188</v>
      </c>
      <c r="C276" s="5" t="s">
        <v>175</v>
      </c>
      <c r="D276" s="5" t="s">
        <v>601</v>
      </c>
      <c r="E276" s="5" t="s">
        <v>602</v>
      </c>
      <c r="F276" s="5"/>
      <c r="G276" s="5" t="str">
        <f aca="false">IF(EXACT(D276,E276),"Tetap","Diubah")</f>
        <v>Diubah</v>
      </c>
      <c r="H276" s="5" t="s">
        <v>167</v>
      </c>
    </row>
    <row r="277" customFormat="false" ht="23.85" hidden="false" customHeight="false" outlineLevel="0" collapsed="false">
      <c r="A277" s="5" t="n">
        <v>276</v>
      </c>
      <c r="B277" s="5" t="s">
        <v>188</v>
      </c>
      <c r="C277" s="5" t="s">
        <v>163</v>
      </c>
      <c r="D277" s="5" t="s">
        <v>603</v>
      </c>
      <c r="E277" s="5" t="s">
        <v>604</v>
      </c>
      <c r="F277" s="5"/>
      <c r="G277" s="5" t="str">
        <f aca="false">IF(EXACT(D277,E277),"Tetap","Diubah")</f>
        <v>Diubah</v>
      </c>
      <c r="H277" s="5" t="s">
        <v>167</v>
      </c>
    </row>
    <row r="278" customFormat="false" ht="23.85" hidden="false" customHeight="false" outlineLevel="0" collapsed="false">
      <c r="A278" s="5" t="n">
        <v>277</v>
      </c>
      <c r="B278" s="5" t="s">
        <v>188</v>
      </c>
      <c r="C278" s="5" t="s">
        <v>485</v>
      </c>
      <c r="D278" s="5" t="s">
        <v>605</v>
      </c>
      <c r="E278" s="5" t="s">
        <v>606</v>
      </c>
      <c r="F278" s="5"/>
      <c r="G278" s="5" t="str">
        <f aca="false">IF(EXACT(D278,E278),"Tetap","Diubah")</f>
        <v>Diubah</v>
      </c>
      <c r="H278" s="5" t="s">
        <v>167</v>
      </c>
    </row>
    <row r="279" customFormat="false" ht="23.85" hidden="false" customHeight="false" outlineLevel="0" collapsed="false">
      <c r="A279" s="5" t="n">
        <v>278</v>
      </c>
      <c r="B279" s="5" t="s">
        <v>188</v>
      </c>
      <c r="C279" s="5" t="s">
        <v>163</v>
      </c>
      <c r="D279" s="5" t="s">
        <v>607</v>
      </c>
      <c r="E279" s="5" t="s">
        <v>608</v>
      </c>
      <c r="F279" s="5"/>
      <c r="G279" s="5" t="str">
        <f aca="false">IF(EXACT(D279,E279),"Tetap","Diubah")</f>
        <v>Diubah</v>
      </c>
      <c r="H279" s="5" t="s">
        <v>167</v>
      </c>
    </row>
    <row r="280" customFormat="false" ht="23.85" hidden="false" customHeight="false" outlineLevel="0" collapsed="false">
      <c r="A280" s="5" t="n">
        <v>279</v>
      </c>
      <c r="B280" s="5" t="s">
        <v>188</v>
      </c>
      <c r="C280" s="5" t="s">
        <v>482</v>
      </c>
      <c r="D280" s="5" t="s">
        <v>609</v>
      </c>
      <c r="E280" s="5" t="s">
        <v>610</v>
      </c>
      <c r="F280" s="5"/>
      <c r="G280" s="5" t="str">
        <f aca="false">IF(EXACT(D280,E280),"Tetap","Diubah")</f>
        <v>Diubah</v>
      </c>
      <c r="H280" s="5" t="s">
        <v>167</v>
      </c>
    </row>
    <row r="281" customFormat="false" ht="23.85" hidden="false" customHeight="false" outlineLevel="0" collapsed="false">
      <c r="A281" s="5" t="n">
        <v>280</v>
      </c>
      <c r="B281" s="5" t="s">
        <v>188</v>
      </c>
      <c r="C281" s="5" t="s">
        <v>163</v>
      </c>
      <c r="D281" s="5" t="s">
        <v>611</v>
      </c>
      <c r="E281" s="5" t="s">
        <v>612</v>
      </c>
      <c r="F281" s="5"/>
      <c r="G281" s="5" t="str">
        <f aca="false">IF(EXACT(D281,E281),"Tetap","Diubah")</f>
        <v>Diubah</v>
      </c>
      <c r="H281" s="5" t="s">
        <v>167</v>
      </c>
    </row>
    <row r="282" customFormat="false" ht="23.85" hidden="false" customHeight="false" outlineLevel="0" collapsed="false">
      <c r="A282" s="5" t="n">
        <v>281</v>
      </c>
      <c r="B282" s="5" t="s">
        <v>188</v>
      </c>
      <c r="C282" s="5" t="s">
        <v>175</v>
      </c>
      <c r="D282" s="5" t="s">
        <v>613</v>
      </c>
      <c r="E282" s="5" t="s">
        <v>614</v>
      </c>
      <c r="F282" s="5" t="s">
        <v>615</v>
      </c>
      <c r="G282" s="5" t="str">
        <f aca="false">IF(EXACT(D282,E282),"Tetap","Diubah")</f>
        <v>Diubah</v>
      </c>
      <c r="H282" s="5" t="s">
        <v>167</v>
      </c>
    </row>
    <row r="283" customFormat="false" ht="23.85" hidden="false" customHeight="false" outlineLevel="0" collapsed="false">
      <c r="A283" s="5" t="n">
        <v>282</v>
      </c>
      <c r="B283" s="5" t="s">
        <v>188</v>
      </c>
      <c r="C283" s="5" t="s">
        <v>163</v>
      </c>
      <c r="D283" s="5" t="s">
        <v>616</v>
      </c>
      <c r="E283" s="5" t="s">
        <v>617</v>
      </c>
      <c r="F283" s="5"/>
      <c r="G283" s="5" t="str">
        <f aca="false">IF(EXACT(D283,E283),"Tetap","Diubah")</f>
        <v>Diubah</v>
      </c>
      <c r="H283" s="5" t="s">
        <v>167</v>
      </c>
    </row>
    <row r="284" customFormat="false" ht="46.25" hidden="false" customHeight="false" outlineLevel="0" collapsed="false">
      <c r="A284" s="5" t="n">
        <v>283</v>
      </c>
      <c r="B284" s="5" t="s">
        <v>188</v>
      </c>
      <c r="C284" s="5" t="s">
        <v>485</v>
      </c>
      <c r="D284" s="5" t="s">
        <v>618</v>
      </c>
      <c r="E284" s="5" t="s">
        <v>619</v>
      </c>
      <c r="F284" s="5" t="s">
        <v>620</v>
      </c>
      <c r="G284" s="5" t="str">
        <f aca="false">IF(EXACT(D284,E284),"Tetap","Diubah")</f>
        <v>Diubah</v>
      </c>
      <c r="H284" s="5" t="s">
        <v>167</v>
      </c>
    </row>
    <row r="285" customFormat="false" ht="23.85" hidden="false" customHeight="false" outlineLevel="0" collapsed="false">
      <c r="A285" s="5" t="n">
        <v>284</v>
      </c>
      <c r="B285" s="5" t="s">
        <v>188</v>
      </c>
      <c r="C285" s="5" t="s">
        <v>175</v>
      </c>
      <c r="D285" s="5" t="s">
        <v>621</v>
      </c>
      <c r="E285" s="5" t="s">
        <v>622</v>
      </c>
      <c r="F285" s="5"/>
      <c r="G285" s="5" t="str">
        <f aca="false">IF(EXACT(D285,E285),"Tetap","Diubah")</f>
        <v>Diubah</v>
      </c>
      <c r="H285" s="5" t="s">
        <v>167</v>
      </c>
    </row>
    <row r="286" customFormat="false" ht="23.85" hidden="false" customHeight="false" outlineLevel="0" collapsed="false">
      <c r="A286" s="5" t="n">
        <v>285</v>
      </c>
      <c r="B286" s="5" t="s">
        <v>188</v>
      </c>
      <c r="C286" s="5" t="s">
        <v>163</v>
      </c>
      <c r="D286" s="5" t="s">
        <v>623</v>
      </c>
      <c r="E286" s="5" t="s">
        <v>624</v>
      </c>
      <c r="F286" s="5"/>
      <c r="G286" s="5" t="str">
        <f aca="false">IF(EXACT(D286,E286),"Tetap","Diubah")</f>
        <v>Diubah</v>
      </c>
      <c r="H286" s="5" t="s">
        <v>167</v>
      </c>
    </row>
    <row r="287" customFormat="false" ht="23.85" hidden="false" customHeight="false" outlineLevel="0" collapsed="false">
      <c r="A287" s="5" t="n">
        <v>286</v>
      </c>
      <c r="B287" s="5" t="s">
        <v>188</v>
      </c>
      <c r="C287" s="5" t="s">
        <v>163</v>
      </c>
      <c r="D287" s="5" t="s">
        <v>625</v>
      </c>
      <c r="E287" s="5" t="s">
        <v>625</v>
      </c>
      <c r="F287" s="5"/>
      <c r="G287" s="5" t="str">
        <f aca="false">IF(EXACT(D287,E287),"Tetap","Diubah")</f>
        <v>Tetap</v>
      </c>
      <c r="H287" s="5" t="s">
        <v>167</v>
      </c>
    </row>
    <row r="288" customFormat="false" ht="23.85" hidden="false" customHeight="false" outlineLevel="0" collapsed="false">
      <c r="A288" s="5" t="n">
        <v>287</v>
      </c>
      <c r="B288" s="5" t="s">
        <v>188</v>
      </c>
      <c r="C288" s="5" t="s">
        <v>485</v>
      </c>
      <c r="D288" s="5" t="s">
        <v>626</v>
      </c>
      <c r="E288" s="5" t="s">
        <v>627</v>
      </c>
      <c r="F288" s="5"/>
      <c r="G288" s="5" t="str">
        <f aca="false">IF(EXACT(D288,E288),"Tetap","Diubah")</f>
        <v>Diubah</v>
      </c>
      <c r="H288" s="5" t="s">
        <v>167</v>
      </c>
    </row>
    <row r="289" customFormat="false" ht="23.85" hidden="false" customHeight="false" outlineLevel="0" collapsed="false">
      <c r="A289" s="5" t="n">
        <v>288</v>
      </c>
      <c r="B289" s="5" t="s">
        <v>188</v>
      </c>
      <c r="C289" s="5" t="s">
        <v>163</v>
      </c>
      <c r="D289" s="5" t="s">
        <v>628</v>
      </c>
      <c r="E289" s="5" t="s">
        <v>629</v>
      </c>
      <c r="F289" s="5"/>
      <c r="G289" s="5" t="str">
        <f aca="false">IF(EXACT(D289,E289),"Tetap","Diubah")</f>
        <v>Diubah</v>
      </c>
      <c r="H289" s="5" t="s">
        <v>167</v>
      </c>
    </row>
    <row r="290" customFormat="false" ht="23.85" hidden="false" customHeight="false" outlineLevel="0" collapsed="false">
      <c r="A290" s="5" t="n">
        <v>289</v>
      </c>
      <c r="B290" s="5" t="s">
        <v>188</v>
      </c>
      <c r="C290" s="5" t="s">
        <v>163</v>
      </c>
      <c r="D290" s="5" t="s">
        <v>630</v>
      </c>
      <c r="E290" s="5" t="s">
        <v>630</v>
      </c>
      <c r="F290" s="5"/>
      <c r="G290" s="5" t="str">
        <f aca="false">IF(EXACT(D290,E290),"Tetap","Diubah")</f>
        <v>Tetap</v>
      </c>
      <c r="H290" s="5" t="s">
        <v>167</v>
      </c>
    </row>
    <row r="291" customFormat="false" ht="23.85" hidden="false" customHeight="false" outlineLevel="0" collapsed="false">
      <c r="A291" s="5" t="n">
        <v>290</v>
      </c>
      <c r="B291" s="5" t="s">
        <v>188</v>
      </c>
      <c r="C291" s="5" t="s">
        <v>163</v>
      </c>
      <c r="D291" s="5" t="s">
        <v>631</v>
      </c>
      <c r="E291" s="5" t="s">
        <v>632</v>
      </c>
      <c r="F291" s="5"/>
      <c r="G291" s="5" t="str">
        <f aca="false">IF(EXACT(D291,E291),"Tetap","Diubah")</f>
        <v>Diubah</v>
      </c>
      <c r="H291" s="5" t="s">
        <v>167</v>
      </c>
    </row>
    <row r="292" customFormat="false" ht="23.85" hidden="false" customHeight="false" outlineLevel="0" collapsed="false">
      <c r="A292" s="5" t="n">
        <v>291</v>
      </c>
      <c r="B292" s="5" t="s">
        <v>188</v>
      </c>
      <c r="C292" s="5" t="s">
        <v>163</v>
      </c>
      <c r="D292" s="5" t="s">
        <v>633</v>
      </c>
      <c r="E292" s="5" t="s">
        <v>634</v>
      </c>
      <c r="F292" s="5"/>
      <c r="G292" s="5" t="str">
        <f aca="false">IF(EXACT(D292,E292),"Tetap","Diubah")</f>
        <v>Diubah</v>
      </c>
      <c r="H292" s="5" t="s">
        <v>167</v>
      </c>
    </row>
    <row r="293" customFormat="false" ht="23.85" hidden="false" customHeight="false" outlineLevel="0" collapsed="false">
      <c r="A293" s="5" t="n">
        <v>292</v>
      </c>
      <c r="B293" s="5" t="s">
        <v>188</v>
      </c>
      <c r="C293" s="5" t="s">
        <v>163</v>
      </c>
      <c r="D293" s="5" t="s">
        <v>635</v>
      </c>
      <c r="E293" s="5" t="s">
        <v>636</v>
      </c>
      <c r="F293" s="5"/>
      <c r="G293" s="5" t="str">
        <f aca="false">IF(EXACT(D293,E293),"Tetap","Diubah")</f>
        <v>Diubah</v>
      </c>
      <c r="H293" s="5" t="s">
        <v>167</v>
      </c>
    </row>
    <row r="294" customFormat="false" ht="23.85" hidden="false" customHeight="false" outlineLevel="0" collapsed="false">
      <c r="A294" s="5" t="n">
        <v>293</v>
      </c>
      <c r="B294" s="5" t="s">
        <v>188</v>
      </c>
      <c r="C294" s="5" t="s">
        <v>175</v>
      </c>
      <c r="D294" s="5" t="s">
        <v>637</v>
      </c>
      <c r="E294" s="5" t="s">
        <v>638</v>
      </c>
      <c r="F294" s="5"/>
      <c r="G294" s="5" t="str">
        <f aca="false">IF(EXACT(D294,E294),"Tetap","Diubah")</f>
        <v>Diubah</v>
      </c>
      <c r="H294" s="5" t="s">
        <v>167</v>
      </c>
    </row>
    <row r="295" customFormat="false" ht="23.85" hidden="false" customHeight="false" outlineLevel="0" collapsed="false">
      <c r="A295" s="5" t="n">
        <v>294</v>
      </c>
      <c r="B295" s="5" t="s">
        <v>188</v>
      </c>
      <c r="C295" s="5" t="s">
        <v>163</v>
      </c>
      <c r="D295" s="5" t="s">
        <v>639</v>
      </c>
      <c r="E295" s="5" t="s">
        <v>640</v>
      </c>
      <c r="F295" s="5"/>
      <c r="G295" s="5" t="str">
        <f aca="false">IF(EXACT(D295,E295),"Tetap","Diubah")</f>
        <v>Diubah</v>
      </c>
      <c r="H295" s="5" t="s">
        <v>167</v>
      </c>
    </row>
    <row r="296" customFormat="false" ht="23.85" hidden="false" customHeight="false" outlineLevel="0" collapsed="false">
      <c r="A296" s="5" t="n">
        <v>295</v>
      </c>
      <c r="B296" s="5" t="s">
        <v>188</v>
      </c>
      <c r="C296" s="5" t="s">
        <v>163</v>
      </c>
      <c r="D296" s="5" t="s">
        <v>641</v>
      </c>
      <c r="E296" s="5" t="s">
        <v>642</v>
      </c>
      <c r="F296" s="5"/>
      <c r="G296" s="5" t="str">
        <f aca="false">IF(EXACT(D296,E296),"Tetap","Diubah")</f>
        <v>Diubah</v>
      </c>
      <c r="H296" s="5" t="s">
        <v>167</v>
      </c>
    </row>
    <row r="297" customFormat="false" ht="23.85" hidden="false" customHeight="false" outlineLevel="0" collapsed="false">
      <c r="A297" s="5" t="n">
        <v>296</v>
      </c>
      <c r="B297" s="5" t="s">
        <v>188</v>
      </c>
      <c r="C297" s="5" t="s">
        <v>485</v>
      </c>
      <c r="D297" s="5" t="s">
        <v>643</v>
      </c>
      <c r="E297" s="5" t="s">
        <v>644</v>
      </c>
      <c r="F297" s="5"/>
      <c r="G297" s="5" t="str">
        <f aca="false">IF(EXACT(D297,E297),"Tetap","Diubah")</f>
        <v>Diubah</v>
      </c>
      <c r="H297" s="5" t="s">
        <v>167</v>
      </c>
    </row>
    <row r="298" customFormat="false" ht="23.85" hidden="false" customHeight="false" outlineLevel="0" collapsed="false">
      <c r="A298" s="5" t="n">
        <v>297</v>
      </c>
      <c r="B298" s="5" t="s">
        <v>188</v>
      </c>
      <c r="C298" s="5" t="s">
        <v>45</v>
      </c>
      <c r="D298" s="5" t="s">
        <v>645</v>
      </c>
      <c r="E298" s="5" t="s">
        <v>646</v>
      </c>
      <c r="F298" s="5"/>
      <c r="G298" s="5" t="str">
        <f aca="false">IF(EXACT(D298,E298),"Tetap","Diubah")</f>
        <v>Diubah</v>
      </c>
      <c r="H298" s="5" t="s">
        <v>167</v>
      </c>
    </row>
    <row r="299" customFormat="false" ht="23.85" hidden="false" customHeight="false" outlineLevel="0" collapsed="false">
      <c r="A299" s="5" t="n">
        <v>298</v>
      </c>
      <c r="B299" s="5" t="s">
        <v>188</v>
      </c>
      <c r="C299" s="5" t="s">
        <v>163</v>
      </c>
      <c r="D299" s="5" t="s">
        <v>647</v>
      </c>
      <c r="E299" s="5" t="s">
        <v>648</v>
      </c>
      <c r="F299" s="5"/>
      <c r="G299" s="5" t="str">
        <f aca="false">IF(EXACT(D299,E299),"Tetap","Diubah")</f>
        <v>Diubah</v>
      </c>
      <c r="H299" s="5" t="s">
        <v>167</v>
      </c>
    </row>
    <row r="300" customFormat="false" ht="23.85" hidden="false" customHeight="false" outlineLevel="0" collapsed="false">
      <c r="A300" s="5" t="n">
        <v>299</v>
      </c>
      <c r="B300" s="5" t="s">
        <v>188</v>
      </c>
      <c r="C300" s="5" t="s">
        <v>163</v>
      </c>
      <c r="D300" s="5" t="s">
        <v>649</v>
      </c>
      <c r="E300" s="5" t="s">
        <v>650</v>
      </c>
      <c r="F300" s="5"/>
      <c r="G300" s="5" t="str">
        <f aca="false">IF(EXACT(D300,E300),"Tetap","Diubah")</f>
        <v>Diubah</v>
      </c>
      <c r="H300" s="5" t="s">
        <v>167</v>
      </c>
    </row>
    <row r="301" customFormat="false" ht="23.85" hidden="false" customHeight="false" outlineLevel="0" collapsed="false">
      <c r="A301" s="5" t="n">
        <v>300</v>
      </c>
      <c r="B301" s="5" t="s">
        <v>188</v>
      </c>
      <c r="C301" s="5" t="s">
        <v>175</v>
      </c>
      <c r="D301" s="5" t="s">
        <v>651</v>
      </c>
      <c r="E301" s="5" t="s">
        <v>652</v>
      </c>
      <c r="F301" s="5"/>
      <c r="G301" s="5" t="str">
        <f aca="false">IF(EXACT(D301,E301),"Tetap","Diubah")</f>
        <v>Diubah</v>
      </c>
      <c r="H301" s="5" t="s">
        <v>167</v>
      </c>
    </row>
    <row r="302" customFormat="false" ht="23.85" hidden="false" customHeight="false" outlineLevel="0" collapsed="false">
      <c r="A302" s="5" t="n">
        <v>301</v>
      </c>
      <c r="B302" s="5" t="s">
        <v>188</v>
      </c>
      <c r="C302" s="5" t="s">
        <v>163</v>
      </c>
      <c r="D302" s="5" t="s">
        <v>653</v>
      </c>
      <c r="E302" s="5" t="s">
        <v>654</v>
      </c>
      <c r="F302" s="5"/>
      <c r="G302" s="5" t="str">
        <f aca="false">IF(EXACT(D302,E302),"Tetap","Diubah")</f>
        <v>Diubah</v>
      </c>
      <c r="H302" s="5" t="s">
        <v>167</v>
      </c>
    </row>
    <row r="303" customFormat="false" ht="23.85" hidden="false" customHeight="false" outlineLevel="0" collapsed="false">
      <c r="A303" s="5" t="n">
        <v>302</v>
      </c>
      <c r="B303" s="5" t="s">
        <v>188</v>
      </c>
      <c r="C303" s="5" t="s">
        <v>485</v>
      </c>
      <c r="D303" s="5" t="s">
        <v>655</v>
      </c>
      <c r="E303" s="5" t="s">
        <v>656</v>
      </c>
      <c r="F303" s="5" t="s">
        <v>657</v>
      </c>
      <c r="G303" s="5" t="str">
        <f aca="false">IF(EXACT(D303,E303),"Tetap","Diubah")</f>
        <v>Diubah</v>
      </c>
      <c r="H303" s="5" t="s">
        <v>167</v>
      </c>
    </row>
    <row r="304" customFormat="false" ht="23.85" hidden="false" customHeight="false" outlineLevel="0" collapsed="false">
      <c r="A304" s="5" t="n">
        <v>303</v>
      </c>
      <c r="B304" s="5" t="s">
        <v>188</v>
      </c>
      <c r="C304" s="5" t="s">
        <v>45</v>
      </c>
      <c r="D304" s="5" t="s">
        <v>658</v>
      </c>
      <c r="E304" s="5" t="s">
        <v>659</v>
      </c>
      <c r="F304" s="5"/>
      <c r="G304" s="5" t="str">
        <f aca="false">IF(EXACT(D304,E304),"Tetap","Diubah")</f>
        <v>Diubah</v>
      </c>
      <c r="H304" s="5" t="s">
        <v>167</v>
      </c>
    </row>
    <row r="305" customFormat="false" ht="35.05" hidden="false" customHeight="false" outlineLevel="0" collapsed="false">
      <c r="A305" s="5" t="n">
        <v>304</v>
      </c>
      <c r="B305" s="5" t="s">
        <v>188</v>
      </c>
      <c r="C305" s="5" t="s">
        <v>175</v>
      </c>
      <c r="D305" s="5" t="s">
        <v>660</v>
      </c>
      <c r="E305" s="5" t="s">
        <v>661</v>
      </c>
      <c r="F305" s="5"/>
      <c r="G305" s="5" t="str">
        <f aca="false">IF(EXACT(D305,E305),"Tetap","Diubah")</f>
        <v>Diubah</v>
      </c>
      <c r="H305" s="5" t="s">
        <v>167</v>
      </c>
    </row>
    <row r="306" customFormat="false" ht="23.85" hidden="false" customHeight="false" outlineLevel="0" collapsed="false">
      <c r="A306" s="5" t="n">
        <v>305</v>
      </c>
      <c r="B306" s="5" t="s">
        <v>188</v>
      </c>
      <c r="C306" s="5" t="s">
        <v>175</v>
      </c>
      <c r="D306" s="5" t="s">
        <v>662</v>
      </c>
      <c r="E306" s="5" t="s">
        <v>663</v>
      </c>
      <c r="F306" s="5"/>
      <c r="G306" s="5" t="str">
        <f aca="false">IF(EXACT(D306,E306),"Tetap","Diubah")</f>
        <v>Diubah</v>
      </c>
      <c r="H306" s="5" t="s">
        <v>167</v>
      </c>
    </row>
    <row r="307" customFormat="false" ht="23.85" hidden="false" customHeight="false" outlineLevel="0" collapsed="false">
      <c r="A307" s="5" t="n">
        <v>306</v>
      </c>
      <c r="B307" s="5" t="s">
        <v>188</v>
      </c>
      <c r="C307" s="5" t="s">
        <v>163</v>
      </c>
      <c r="D307" s="5" t="s">
        <v>664</v>
      </c>
      <c r="E307" s="5" t="s">
        <v>665</v>
      </c>
      <c r="F307" s="5"/>
      <c r="G307" s="5" t="str">
        <f aca="false">IF(EXACT(D307,E307),"Tetap","Diubah")</f>
        <v>Diubah</v>
      </c>
      <c r="H307" s="5" t="s">
        <v>167</v>
      </c>
    </row>
    <row r="308" customFormat="false" ht="23.85" hidden="false" customHeight="false" outlineLevel="0" collapsed="false">
      <c r="A308" s="5" t="n">
        <v>307</v>
      </c>
      <c r="B308" s="5" t="s">
        <v>188</v>
      </c>
      <c r="C308" s="5" t="s">
        <v>163</v>
      </c>
      <c r="D308" s="5" t="s">
        <v>666</v>
      </c>
      <c r="E308" s="5" t="s">
        <v>667</v>
      </c>
      <c r="F308" s="5"/>
      <c r="G308" s="5" t="str">
        <f aca="false">IF(EXACT(D308,E308),"Tetap","Diubah")</f>
        <v>Diubah</v>
      </c>
      <c r="H308" s="5" t="s">
        <v>167</v>
      </c>
    </row>
    <row r="309" customFormat="false" ht="23.85" hidden="false" customHeight="false" outlineLevel="0" collapsed="false">
      <c r="A309" s="5" t="n">
        <v>308</v>
      </c>
      <c r="B309" s="5" t="s">
        <v>188</v>
      </c>
      <c r="C309" s="5" t="s">
        <v>163</v>
      </c>
      <c r="D309" s="5" t="s">
        <v>668</v>
      </c>
      <c r="E309" s="5" t="s">
        <v>669</v>
      </c>
      <c r="F309" s="5"/>
      <c r="G309" s="5" t="str">
        <f aca="false">IF(EXACT(D309,E309),"Tetap","Diubah")</f>
        <v>Diubah</v>
      </c>
      <c r="H309" s="5" t="s">
        <v>167</v>
      </c>
    </row>
    <row r="310" customFormat="false" ht="23.85" hidden="false" customHeight="false" outlineLevel="0" collapsed="false">
      <c r="A310" s="5" t="n">
        <v>309</v>
      </c>
      <c r="B310" s="5" t="s">
        <v>188</v>
      </c>
      <c r="C310" s="5" t="s">
        <v>163</v>
      </c>
      <c r="D310" s="5" t="s">
        <v>670</v>
      </c>
      <c r="E310" s="5" t="s">
        <v>671</v>
      </c>
      <c r="F310" s="5"/>
      <c r="G310" s="5" t="str">
        <f aca="false">IF(EXACT(D310,E310),"Tetap","Diubah")</f>
        <v>Diubah</v>
      </c>
      <c r="H310" s="5" t="s">
        <v>167</v>
      </c>
    </row>
    <row r="311" customFormat="false" ht="23.85" hidden="false" customHeight="false" outlineLevel="0" collapsed="false">
      <c r="A311" s="5" t="n">
        <v>310</v>
      </c>
      <c r="B311" s="5" t="s">
        <v>188</v>
      </c>
      <c r="C311" s="5" t="s">
        <v>482</v>
      </c>
      <c r="D311" s="5" t="s">
        <v>672</v>
      </c>
      <c r="E311" s="5" t="s">
        <v>673</v>
      </c>
      <c r="F311" s="5"/>
      <c r="G311" s="5" t="str">
        <f aca="false">IF(EXACT(D311,E311),"Tetap","Diubah")</f>
        <v>Diubah</v>
      </c>
      <c r="H311" s="5" t="s">
        <v>167</v>
      </c>
    </row>
    <row r="312" customFormat="false" ht="23.85" hidden="false" customHeight="false" outlineLevel="0" collapsed="false">
      <c r="A312" s="5" t="n">
        <v>311</v>
      </c>
      <c r="B312" s="5" t="s">
        <v>188</v>
      </c>
      <c r="C312" s="5" t="s">
        <v>163</v>
      </c>
      <c r="D312" s="5" t="s">
        <v>674</v>
      </c>
      <c r="E312" s="5" t="s">
        <v>675</v>
      </c>
      <c r="F312" s="5"/>
      <c r="G312" s="5" t="str">
        <f aca="false">IF(EXACT(D312,E312),"Tetap","Diubah")</f>
        <v>Diubah</v>
      </c>
      <c r="H312" s="5" t="s">
        <v>167</v>
      </c>
    </row>
    <row r="313" customFormat="false" ht="23.85" hidden="false" customHeight="false" outlineLevel="0" collapsed="false">
      <c r="A313" s="5" t="n">
        <v>312</v>
      </c>
      <c r="B313" s="5" t="s">
        <v>188</v>
      </c>
      <c r="C313" s="5" t="s">
        <v>163</v>
      </c>
      <c r="D313" s="5" t="s">
        <v>676</v>
      </c>
      <c r="E313" s="5" t="s">
        <v>677</v>
      </c>
      <c r="F313" s="5"/>
      <c r="G313" s="5" t="str">
        <f aca="false">IF(EXACT(D313,E313),"Tetap","Diubah")</f>
        <v>Diubah</v>
      </c>
      <c r="H313" s="5" t="s">
        <v>167</v>
      </c>
    </row>
    <row r="314" customFormat="false" ht="23.85" hidden="false" customHeight="false" outlineLevel="0" collapsed="false">
      <c r="A314" s="5" t="n">
        <v>313</v>
      </c>
      <c r="B314" s="5" t="s">
        <v>188</v>
      </c>
      <c r="C314" s="5" t="s">
        <v>175</v>
      </c>
      <c r="D314" s="5" t="s">
        <v>678</v>
      </c>
      <c r="E314" s="5" t="s">
        <v>679</v>
      </c>
      <c r="F314" s="5"/>
      <c r="G314" s="5" t="str">
        <f aca="false">IF(EXACT(D314,E314),"Tetap","Diubah")</f>
        <v>Diubah</v>
      </c>
      <c r="H314" s="5" t="s">
        <v>167</v>
      </c>
    </row>
    <row r="315" customFormat="false" ht="23.85" hidden="false" customHeight="false" outlineLevel="0" collapsed="false">
      <c r="A315" s="5" t="n">
        <v>314</v>
      </c>
      <c r="B315" s="5" t="s">
        <v>188</v>
      </c>
      <c r="C315" s="5" t="s">
        <v>163</v>
      </c>
      <c r="D315" s="5" t="s">
        <v>680</v>
      </c>
      <c r="E315" s="5" t="s">
        <v>681</v>
      </c>
      <c r="F315" s="5"/>
      <c r="G315" s="5" t="str">
        <f aca="false">IF(EXACT(D315,E315),"Tetap","Diubah")</f>
        <v>Diubah</v>
      </c>
      <c r="H315" s="5" t="s">
        <v>167</v>
      </c>
    </row>
    <row r="316" customFormat="false" ht="23.85" hidden="false" customHeight="false" outlineLevel="0" collapsed="false">
      <c r="A316" s="5" t="n">
        <v>315</v>
      </c>
      <c r="B316" s="5" t="s">
        <v>188</v>
      </c>
      <c r="C316" s="5" t="s">
        <v>163</v>
      </c>
      <c r="D316" s="5" t="s">
        <v>682</v>
      </c>
      <c r="E316" s="5" t="s">
        <v>683</v>
      </c>
      <c r="F316" s="5"/>
      <c r="G316" s="5" t="str">
        <f aca="false">IF(EXACT(D316,E316),"Tetap","Diubah")</f>
        <v>Diubah</v>
      </c>
      <c r="H316" s="5" t="s">
        <v>167</v>
      </c>
    </row>
    <row r="317" customFormat="false" ht="23.85" hidden="false" customHeight="false" outlineLevel="0" collapsed="false">
      <c r="A317" s="5" t="n">
        <v>316</v>
      </c>
      <c r="B317" s="5" t="s">
        <v>188</v>
      </c>
      <c r="C317" s="5" t="s">
        <v>163</v>
      </c>
      <c r="D317" s="5" t="s">
        <v>684</v>
      </c>
      <c r="E317" s="5" t="s">
        <v>685</v>
      </c>
      <c r="F317" s="5"/>
      <c r="G317" s="5" t="str">
        <f aca="false">IF(EXACT(D317,E317),"Tetap","Diubah")</f>
        <v>Diubah</v>
      </c>
      <c r="H317" s="5" t="s">
        <v>167</v>
      </c>
    </row>
    <row r="318" customFormat="false" ht="23.85" hidden="false" customHeight="false" outlineLevel="0" collapsed="false">
      <c r="A318" s="5" t="n">
        <v>317</v>
      </c>
      <c r="B318" s="5" t="s">
        <v>188</v>
      </c>
      <c r="C318" s="5" t="s">
        <v>485</v>
      </c>
      <c r="D318" s="5" t="s">
        <v>686</v>
      </c>
      <c r="E318" s="5" t="s">
        <v>687</v>
      </c>
      <c r="F318" s="5"/>
      <c r="G318" s="5" t="str">
        <f aca="false">IF(EXACT(D318,E318),"Tetap","Diubah")</f>
        <v>Diubah</v>
      </c>
      <c r="H318" s="5" t="s">
        <v>167</v>
      </c>
    </row>
    <row r="319" customFormat="false" ht="23.85" hidden="false" customHeight="false" outlineLevel="0" collapsed="false">
      <c r="A319" s="5" t="n">
        <v>318</v>
      </c>
      <c r="B319" s="5" t="s">
        <v>188</v>
      </c>
      <c r="C319" s="5" t="s">
        <v>163</v>
      </c>
      <c r="D319" s="5" t="s">
        <v>688</v>
      </c>
      <c r="E319" s="5" t="s">
        <v>689</v>
      </c>
      <c r="F319" s="5"/>
      <c r="G319" s="5" t="str">
        <f aca="false">IF(EXACT(D319,E319),"Tetap","Diubah")</f>
        <v>Diubah</v>
      </c>
      <c r="H319" s="5" t="s">
        <v>167</v>
      </c>
    </row>
    <row r="320" customFormat="false" ht="23.85" hidden="false" customHeight="false" outlineLevel="0" collapsed="false">
      <c r="A320" s="5" t="n">
        <v>319</v>
      </c>
      <c r="B320" s="5" t="s">
        <v>188</v>
      </c>
      <c r="C320" s="5" t="s">
        <v>163</v>
      </c>
      <c r="D320" s="5" t="s">
        <v>690</v>
      </c>
      <c r="E320" s="5" t="s">
        <v>691</v>
      </c>
      <c r="F320" s="5" t="s">
        <v>692</v>
      </c>
      <c r="G320" s="5" t="str">
        <f aca="false">IF(EXACT(D320,E320),"Tetap","Diubah")</f>
        <v>Diubah</v>
      </c>
      <c r="H320" s="5" t="s">
        <v>167</v>
      </c>
    </row>
    <row r="321" customFormat="false" ht="23.85" hidden="false" customHeight="false" outlineLevel="0" collapsed="false">
      <c r="A321" s="5" t="n">
        <v>320</v>
      </c>
      <c r="B321" s="5" t="s">
        <v>188</v>
      </c>
      <c r="C321" s="5" t="s">
        <v>175</v>
      </c>
      <c r="D321" s="5" t="s">
        <v>693</v>
      </c>
      <c r="E321" s="5" t="s">
        <v>694</v>
      </c>
      <c r="F321" s="5" t="s">
        <v>695</v>
      </c>
      <c r="G321" s="5" t="str">
        <f aca="false">IF(EXACT(D321,E321),"Tetap","Diubah")</f>
        <v>Diubah</v>
      </c>
      <c r="H321" s="5" t="s">
        <v>167</v>
      </c>
    </row>
    <row r="322" customFormat="false" ht="23.85" hidden="false" customHeight="false" outlineLevel="0" collapsed="false">
      <c r="A322" s="5" t="n">
        <v>321</v>
      </c>
      <c r="B322" s="5" t="s">
        <v>188</v>
      </c>
      <c r="C322" s="5" t="s">
        <v>485</v>
      </c>
      <c r="D322" s="5" t="s">
        <v>696</v>
      </c>
      <c r="E322" s="5" t="s">
        <v>697</v>
      </c>
      <c r="F322" s="5"/>
      <c r="G322" s="5" t="str">
        <f aca="false">IF(EXACT(D322,E322),"Tetap","Diubah")</f>
        <v>Diubah</v>
      </c>
      <c r="H322" s="5" t="s">
        <v>167</v>
      </c>
    </row>
    <row r="323" customFormat="false" ht="23.85" hidden="false" customHeight="false" outlineLevel="0" collapsed="false">
      <c r="A323" s="5" t="n">
        <v>322</v>
      </c>
      <c r="B323" s="5" t="s">
        <v>188</v>
      </c>
      <c r="C323" s="5" t="s">
        <v>175</v>
      </c>
      <c r="D323" s="5" t="s">
        <v>698</v>
      </c>
      <c r="E323" s="5" t="s">
        <v>699</v>
      </c>
      <c r="F323" s="5"/>
      <c r="G323" s="5" t="str">
        <f aca="false">IF(EXACT(D323,E323),"Tetap","Diubah")</f>
        <v>Diubah</v>
      </c>
      <c r="H323" s="5" t="s">
        <v>167</v>
      </c>
    </row>
    <row r="324" customFormat="false" ht="23.85" hidden="false" customHeight="false" outlineLevel="0" collapsed="false">
      <c r="A324" s="5" t="n">
        <v>323</v>
      </c>
      <c r="B324" s="5" t="s">
        <v>188</v>
      </c>
      <c r="C324" s="5" t="s">
        <v>153</v>
      </c>
      <c r="D324" s="5" t="s">
        <v>700</v>
      </c>
      <c r="E324" s="5" t="s">
        <v>278</v>
      </c>
      <c r="F324" s="5"/>
      <c r="G324" s="5" t="str">
        <f aca="false">IF(EXACT(D324,E324),"Tetap","Diubah")</f>
        <v>Diubah</v>
      </c>
      <c r="H324" s="5" t="s">
        <v>167</v>
      </c>
    </row>
    <row r="325" customFormat="false" ht="23.85" hidden="false" customHeight="false" outlineLevel="0" collapsed="false">
      <c r="A325" s="5" t="n">
        <v>324</v>
      </c>
      <c r="B325" s="5" t="s">
        <v>188</v>
      </c>
      <c r="C325" s="5" t="s">
        <v>153</v>
      </c>
      <c r="D325" s="5" t="s">
        <v>701</v>
      </c>
      <c r="E325" s="5" t="s">
        <v>702</v>
      </c>
      <c r="F325" s="5"/>
      <c r="G325" s="5" t="str">
        <f aca="false">IF(EXACT(D325,E325),"Tetap","Diubah")</f>
        <v>Diubah</v>
      </c>
      <c r="H325" s="5" t="s">
        <v>167</v>
      </c>
    </row>
    <row r="326" customFormat="false" ht="23.85" hidden="false" customHeight="false" outlineLevel="0" collapsed="false">
      <c r="A326" s="5" t="n">
        <v>325</v>
      </c>
      <c r="B326" s="5" t="s">
        <v>188</v>
      </c>
      <c r="C326" s="5" t="s">
        <v>156</v>
      </c>
      <c r="D326" s="5" t="s">
        <v>703</v>
      </c>
      <c r="E326" s="5" t="s">
        <v>703</v>
      </c>
      <c r="F326" s="5" t="s">
        <v>28</v>
      </c>
      <c r="G326" s="5" t="str">
        <f aca="false">IF(EXACT(D326,E326),"Tetap","Diubah")</f>
        <v>Tetap</v>
      </c>
      <c r="H326" s="5" t="s">
        <v>167</v>
      </c>
    </row>
    <row r="327" customFormat="false" ht="23.85" hidden="false" customHeight="false" outlineLevel="0" collapsed="false">
      <c r="A327" s="5" t="n">
        <v>326</v>
      </c>
      <c r="B327" s="5" t="s">
        <v>188</v>
      </c>
      <c r="C327" s="5" t="s">
        <v>153</v>
      </c>
      <c r="D327" s="5" t="s">
        <v>401</v>
      </c>
      <c r="E327" s="5" t="s">
        <v>402</v>
      </c>
      <c r="F327" s="5"/>
      <c r="G327" s="5" t="str">
        <f aca="false">IF(EXACT(D327,E327),"Tetap","Diubah")</f>
        <v>Diubah</v>
      </c>
      <c r="H327" s="5" t="s">
        <v>167</v>
      </c>
    </row>
    <row r="328" customFormat="false" ht="23.85" hidden="false" customHeight="false" outlineLevel="0" collapsed="false">
      <c r="A328" s="5" t="n">
        <v>327</v>
      </c>
      <c r="B328" s="5" t="s">
        <v>188</v>
      </c>
      <c r="C328" s="5" t="s">
        <v>20</v>
      </c>
      <c r="D328" s="5" t="s">
        <v>704</v>
      </c>
      <c r="E328" s="5" t="s">
        <v>705</v>
      </c>
      <c r="F328" s="5"/>
      <c r="G328" s="5" t="str">
        <f aca="false">IF(EXACT(D328,E328),"Tetap","Diubah")</f>
        <v>Diubah</v>
      </c>
      <c r="H328" s="5" t="s">
        <v>167</v>
      </c>
    </row>
    <row r="329" customFormat="false" ht="23.85" hidden="false" customHeight="false" outlineLevel="0" collapsed="false">
      <c r="A329" s="5" t="n">
        <v>328</v>
      </c>
      <c r="B329" s="5" t="s">
        <v>188</v>
      </c>
      <c r="C329" s="5" t="s">
        <v>153</v>
      </c>
      <c r="D329" s="5" t="s">
        <v>706</v>
      </c>
      <c r="E329" s="5" t="s">
        <v>707</v>
      </c>
      <c r="F329" s="5"/>
      <c r="G329" s="5" t="str">
        <f aca="false">IF(EXACT(D329,E329),"Tetap","Diubah")</f>
        <v>Diubah</v>
      </c>
      <c r="H329" s="5" t="s">
        <v>167</v>
      </c>
    </row>
    <row r="330" customFormat="false" ht="23.85" hidden="false" customHeight="false" outlineLevel="0" collapsed="false">
      <c r="A330" s="5" t="n">
        <v>329</v>
      </c>
      <c r="B330" s="5" t="s">
        <v>188</v>
      </c>
      <c r="C330" s="5" t="s">
        <v>175</v>
      </c>
      <c r="D330" s="5" t="s">
        <v>708</v>
      </c>
      <c r="E330" s="5" t="s">
        <v>709</v>
      </c>
      <c r="F330" s="5"/>
      <c r="G330" s="5" t="str">
        <f aca="false">IF(EXACT(D330,E330),"Tetap","Diubah")</f>
        <v>Diubah</v>
      </c>
      <c r="H330" s="5" t="s">
        <v>167</v>
      </c>
    </row>
    <row r="331" customFormat="false" ht="23.85" hidden="false" customHeight="false" outlineLevel="0" collapsed="false">
      <c r="A331" s="5" t="n">
        <v>330</v>
      </c>
      <c r="B331" s="5" t="s">
        <v>188</v>
      </c>
      <c r="C331" s="5" t="s">
        <v>175</v>
      </c>
      <c r="D331" s="5" t="s">
        <v>710</v>
      </c>
      <c r="E331" s="5" t="s">
        <v>711</v>
      </c>
      <c r="F331" s="5"/>
      <c r="G331" s="5" t="str">
        <f aca="false">IF(EXACT(D331,E331),"Tetap","Diubah")</f>
        <v>Diubah</v>
      </c>
      <c r="H331" s="5" t="s">
        <v>167</v>
      </c>
    </row>
    <row r="332" customFormat="false" ht="23.85" hidden="false" customHeight="false" outlineLevel="0" collapsed="false">
      <c r="A332" s="5" t="n">
        <v>331</v>
      </c>
      <c r="B332" s="5" t="s">
        <v>188</v>
      </c>
      <c r="C332" s="5" t="s">
        <v>20</v>
      </c>
      <c r="D332" s="5" t="s">
        <v>712</v>
      </c>
      <c r="E332" s="5" t="s">
        <v>713</v>
      </c>
      <c r="F332" s="5"/>
      <c r="G332" s="5" t="str">
        <f aca="false">IF(EXACT(D332,E332),"Tetap","Diubah")</f>
        <v>Diubah</v>
      </c>
      <c r="H332" s="5" t="s">
        <v>167</v>
      </c>
    </row>
    <row r="333" customFormat="false" ht="23.85" hidden="false" customHeight="false" outlineLevel="0" collapsed="false">
      <c r="A333" s="5" t="n">
        <v>332</v>
      </c>
      <c r="B333" s="5" t="s">
        <v>188</v>
      </c>
      <c r="C333" s="5" t="s">
        <v>153</v>
      </c>
      <c r="D333" s="5" t="s">
        <v>714</v>
      </c>
      <c r="E333" s="5" t="s">
        <v>715</v>
      </c>
      <c r="F333" s="5"/>
      <c r="G333" s="5" t="str">
        <f aca="false">IF(EXACT(D333,E333),"Tetap","Diubah")</f>
        <v>Diubah</v>
      </c>
      <c r="H333" s="5" t="s">
        <v>167</v>
      </c>
    </row>
    <row r="334" customFormat="false" ht="23.85" hidden="false" customHeight="false" outlineLevel="0" collapsed="false">
      <c r="A334" s="5" t="n">
        <v>333</v>
      </c>
      <c r="B334" s="5" t="s">
        <v>188</v>
      </c>
      <c r="C334" s="5" t="s">
        <v>20</v>
      </c>
      <c r="D334" s="5" t="s">
        <v>470</v>
      </c>
      <c r="E334" s="5" t="s">
        <v>470</v>
      </c>
      <c r="F334" s="5" t="s">
        <v>28</v>
      </c>
      <c r="G334" s="5" t="str">
        <f aca="false">IF(EXACT(D334,E334),"Tetap","Diubah")</f>
        <v>Tetap</v>
      </c>
      <c r="H334" s="5" t="s">
        <v>167</v>
      </c>
    </row>
    <row r="335" customFormat="false" ht="23.85" hidden="false" customHeight="false" outlineLevel="0" collapsed="false">
      <c r="A335" s="5" t="n">
        <v>334</v>
      </c>
      <c r="B335" s="5" t="s">
        <v>188</v>
      </c>
      <c r="C335" s="5" t="s">
        <v>175</v>
      </c>
      <c r="D335" s="5" t="s">
        <v>716</v>
      </c>
      <c r="E335" s="5" t="s">
        <v>717</v>
      </c>
      <c r="F335" s="5"/>
      <c r="G335" s="5" t="str">
        <f aca="false">IF(EXACT(D335,E335),"Tetap","Diubah")</f>
        <v>Diubah</v>
      </c>
      <c r="H335" s="5" t="s">
        <v>167</v>
      </c>
    </row>
    <row r="336" customFormat="false" ht="23.85" hidden="false" customHeight="false" outlineLevel="0" collapsed="false">
      <c r="A336" s="5" t="n">
        <v>335</v>
      </c>
      <c r="B336" s="5" t="s">
        <v>188</v>
      </c>
      <c r="C336" s="5" t="s">
        <v>20</v>
      </c>
      <c r="D336" s="5" t="s">
        <v>718</v>
      </c>
      <c r="E336" s="5" t="s">
        <v>719</v>
      </c>
      <c r="F336" s="5"/>
      <c r="G336" s="5" t="str">
        <f aca="false">IF(EXACT(D336,E336),"Tetap","Diubah")</f>
        <v>Diubah</v>
      </c>
      <c r="H336" s="5" t="s">
        <v>167</v>
      </c>
    </row>
    <row r="337" customFormat="false" ht="23.85" hidden="false" customHeight="false" outlineLevel="0" collapsed="false">
      <c r="A337" s="5" t="n">
        <v>336</v>
      </c>
      <c r="B337" s="5" t="s">
        <v>188</v>
      </c>
      <c r="C337" s="5" t="s">
        <v>20</v>
      </c>
      <c r="D337" s="5" t="s">
        <v>720</v>
      </c>
      <c r="E337" s="5" t="s">
        <v>720</v>
      </c>
      <c r="F337" s="5" t="s">
        <v>28</v>
      </c>
      <c r="G337" s="5" t="str">
        <f aca="false">IF(EXACT(D337,E337),"Tetap","Diubah")</f>
        <v>Tetap</v>
      </c>
      <c r="H337" s="5" t="s">
        <v>167</v>
      </c>
    </row>
    <row r="338" customFormat="false" ht="23.85" hidden="false" customHeight="false" outlineLevel="0" collapsed="false">
      <c r="A338" s="5" t="n">
        <v>337</v>
      </c>
      <c r="B338" s="5" t="s">
        <v>188</v>
      </c>
      <c r="C338" s="5" t="s">
        <v>20</v>
      </c>
      <c r="D338" s="5" t="s">
        <v>347</v>
      </c>
      <c r="E338" s="5" t="s">
        <v>348</v>
      </c>
      <c r="F338" s="5"/>
      <c r="G338" s="5" t="str">
        <f aca="false">IF(EXACT(D338,E338),"Tetap","Diubah")</f>
        <v>Diubah</v>
      </c>
      <c r="H338" s="5" t="s">
        <v>167</v>
      </c>
    </row>
    <row r="339" customFormat="false" ht="23.85" hidden="false" customHeight="false" outlineLevel="0" collapsed="false">
      <c r="A339" s="5" t="n">
        <v>338</v>
      </c>
      <c r="B339" s="5" t="s">
        <v>188</v>
      </c>
      <c r="C339" s="5" t="s">
        <v>153</v>
      </c>
      <c r="D339" s="5" t="s">
        <v>721</v>
      </c>
      <c r="E339" s="5" t="s">
        <v>722</v>
      </c>
      <c r="F339" s="5"/>
      <c r="G339" s="5" t="str">
        <f aca="false">IF(EXACT(D339,E339),"Tetap","Diubah")</f>
        <v>Diubah</v>
      </c>
      <c r="H339" s="5" t="s">
        <v>167</v>
      </c>
    </row>
    <row r="340" customFormat="false" ht="23.85" hidden="false" customHeight="false" outlineLevel="0" collapsed="false">
      <c r="A340" s="5" t="n">
        <v>339</v>
      </c>
      <c r="B340" s="5" t="s">
        <v>188</v>
      </c>
      <c r="C340" s="5" t="s">
        <v>163</v>
      </c>
      <c r="D340" s="5" t="s">
        <v>723</v>
      </c>
      <c r="E340" s="5" t="s">
        <v>724</v>
      </c>
      <c r="F340" s="5"/>
      <c r="G340" s="5" t="str">
        <f aca="false">IF(EXACT(D340,E340),"Tetap","Diubah")</f>
        <v>Diubah</v>
      </c>
      <c r="H340" s="5" t="s">
        <v>167</v>
      </c>
    </row>
    <row r="341" customFormat="false" ht="23.85" hidden="false" customHeight="false" outlineLevel="0" collapsed="false">
      <c r="A341" s="5" t="n">
        <v>340</v>
      </c>
      <c r="B341" s="5" t="s">
        <v>188</v>
      </c>
      <c r="C341" s="5" t="s">
        <v>163</v>
      </c>
      <c r="D341" s="5" t="s">
        <v>725</v>
      </c>
      <c r="E341" s="5" t="s">
        <v>726</v>
      </c>
      <c r="F341" s="5"/>
      <c r="G341" s="5" t="str">
        <f aca="false">IF(EXACT(D341,E341),"Tetap","Diubah")</f>
        <v>Diubah</v>
      </c>
      <c r="H341" s="5" t="s">
        <v>167</v>
      </c>
    </row>
    <row r="342" customFormat="false" ht="23.85" hidden="false" customHeight="false" outlineLevel="0" collapsed="false">
      <c r="A342" s="5" t="n">
        <v>341</v>
      </c>
      <c r="B342" s="5" t="s">
        <v>188</v>
      </c>
      <c r="C342" s="5" t="s">
        <v>153</v>
      </c>
      <c r="D342" s="5" t="s">
        <v>296</v>
      </c>
      <c r="E342" s="5" t="s">
        <v>297</v>
      </c>
      <c r="F342" s="5"/>
      <c r="G342" s="5" t="str">
        <f aca="false">IF(EXACT(D342,E342),"Tetap","Diubah")</f>
        <v>Diubah</v>
      </c>
      <c r="H342" s="5" t="s">
        <v>167</v>
      </c>
    </row>
    <row r="343" customFormat="false" ht="23.85" hidden="false" customHeight="false" outlineLevel="0" collapsed="false">
      <c r="A343" s="5" t="n">
        <v>342</v>
      </c>
      <c r="B343" s="5" t="s">
        <v>188</v>
      </c>
      <c r="C343" s="5" t="s">
        <v>153</v>
      </c>
      <c r="D343" s="5" t="s">
        <v>727</v>
      </c>
      <c r="E343" s="5" t="s">
        <v>728</v>
      </c>
      <c r="F343" s="5"/>
      <c r="G343" s="5" t="str">
        <f aca="false">IF(EXACT(D343,E343),"Tetap","Diubah")</f>
        <v>Diubah</v>
      </c>
      <c r="H343" s="5" t="s">
        <v>167</v>
      </c>
    </row>
    <row r="344" customFormat="false" ht="15" hidden="false" customHeight="false" outlineLevel="0" collapsed="false">
      <c r="A344" s="5" t="n">
        <v>343</v>
      </c>
      <c r="B344" s="5" t="s">
        <v>313</v>
      </c>
      <c r="C344" s="5" t="s">
        <v>159</v>
      </c>
      <c r="D344" s="5" t="s">
        <v>729</v>
      </c>
      <c r="E344" s="5" t="s">
        <v>730</v>
      </c>
      <c r="F344" s="5"/>
      <c r="G344" s="5" t="str">
        <f aca="false">IF(EXACT(D344,E344),"Tetap","Diubah")</f>
        <v>Diubah</v>
      </c>
      <c r="H344" s="5" t="s">
        <v>23</v>
      </c>
    </row>
    <row r="345" customFormat="false" ht="15" hidden="false" customHeight="false" outlineLevel="0" collapsed="false">
      <c r="A345" s="5" t="n">
        <v>344</v>
      </c>
      <c r="B345" s="5" t="s">
        <v>313</v>
      </c>
      <c r="C345" s="5" t="s">
        <v>115</v>
      </c>
      <c r="D345" s="5" t="s">
        <v>731</v>
      </c>
      <c r="E345" s="5" t="s">
        <v>732</v>
      </c>
      <c r="F345" s="5"/>
      <c r="G345" s="5" t="str">
        <f aca="false">IF(EXACT(D345,E345),"Tetap","Diubah")</f>
        <v>Diubah</v>
      </c>
      <c r="H345" s="5" t="s">
        <v>23</v>
      </c>
    </row>
    <row r="346" customFormat="false" ht="15" hidden="false" customHeight="false" outlineLevel="0" collapsed="false">
      <c r="A346" s="5" t="n">
        <v>345</v>
      </c>
      <c r="B346" s="5" t="s">
        <v>313</v>
      </c>
      <c r="C346" s="5" t="s">
        <v>115</v>
      </c>
      <c r="D346" s="5" t="s">
        <v>733</v>
      </c>
      <c r="E346" s="5" t="s">
        <v>734</v>
      </c>
      <c r="F346" s="5" t="s">
        <v>735</v>
      </c>
      <c r="G346" s="5" t="str">
        <f aca="false">IF(EXACT(D346,E346),"Tetap","Diubah")</f>
        <v>Diubah</v>
      </c>
      <c r="H346" s="5" t="s">
        <v>23</v>
      </c>
    </row>
    <row r="347" customFormat="false" ht="15" hidden="false" customHeight="false" outlineLevel="0" collapsed="false">
      <c r="A347" s="5" t="n">
        <v>346</v>
      </c>
      <c r="B347" s="5" t="s">
        <v>313</v>
      </c>
      <c r="C347" s="5" t="s">
        <v>115</v>
      </c>
      <c r="D347" s="5" t="s">
        <v>736</v>
      </c>
      <c r="E347" s="5" t="s">
        <v>301</v>
      </c>
      <c r="F347" s="5"/>
      <c r="G347" s="5" t="str">
        <f aca="false">IF(EXACT(D347,E347),"Tetap","Diubah")</f>
        <v>Diubah</v>
      </c>
      <c r="H347" s="5" t="s">
        <v>23</v>
      </c>
    </row>
    <row r="348" customFormat="false" ht="15" hidden="false" customHeight="false" outlineLevel="0" collapsed="false">
      <c r="A348" s="5" t="n">
        <v>347</v>
      </c>
      <c r="B348" s="5" t="s">
        <v>313</v>
      </c>
      <c r="C348" s="5" t="s">
        <v>330</v>
      </c>
      <c r="D348" s="5" t="s">
        <v>737</v>
      </c>
      <c r="E348" s="5" t="s">
        <v>738</v>
      </c>
      <c r="F348" s="5" t="s">
        <v>739</v>
      </c>
      <c r="G348" s="5" t="str">
        <f aca="false">IF(EXACT(D348,E348),"Tetap","Diubah")</f>
        <v>Diubah</v>
      </c>
      <c r="H348" s="5" t="s">
        <v>23</v>
      </c>
    </row>
    <row r="349" customFormat="false" ht="15" hidden="false" customHeight="false" outlineLevel="0" collapsed="false">
      <c r="A349" s="5" t="n">
        <v>348</v>
      </c>
      <c r="B349" s="5" t="s">
        <v>313</v>
      </c>
      <c r="C349" s="5" t="s">
        <v>54</v>
      </c>
      <c r="D349" s="5" t="s">
        <v>740</v>
      </c>
      <c r="E349" s="5" t="s">
        <v>741</v>
      </c>
      <c r="F349" s="5"/>
      <c r="G349" s="5" t="str">
        <f aca="false">IF(EXACT(D349,E349),"Tetap","Diubah")</f>
        <v>Diubah</v>
      </c>
      <c r="H349" s="5" t="s">
        <v>23</v>
      </c>
    </row>
    <row r="350" customFormat="false" ht="15" hidden="false" customHeight="false" outlineLevel="0" collapsed="false">
      <c r="A350" s="5" t="n">
        <v>349</v>
      </c>
      <c r="B350" s="5" t="s">
        <v>313</v>
      </c>
      <c r="C350" s="5" t="s">
        <v>20</v>
      </c>
      <c r="D350" s="5" t="s">
        <v>742</v>
      </c>
      <c r="E350" s="5" t="s">
        <v>743</v>
      </c>
      <c r="F350" s="5"/>
      <c r="G350" s="5" t="str">
        <f aca="false">IF(EXACT(D350,E350),"Tetap","Diubah")</f>
        <v>Diubah</v>
      </c>
      <c r="H350" s="5" t="s">
        <v>23</v>
      </c>
    </row>
    <row r="351" customFormat="false" ht="15" hidden="false" customHeight="false" outlineLevel="0" collapsed="false">
      <c r="A351" s="5" t="n">
        <v>350</v>
      </c>
      <c r="B351" s="5" t="s">
        <v>313</v>
      </c>
      <c r="C351" s="5" t="s">
        <v>130</v>
      </c>
      <c r="D351" s="5" t="s">
        <v>744</v>
      </c>
      <c r="E351" s="5" t="s">
        <v>745</v>
      </c>
      <c r="F351" s="5"/>
      <c r="G351" s="5" t="str">
        <f aca="false">IF(EXACT(D351,E351),"Tetap","Diubah")</f>
        <v>Diubah</v>
      </c>
      <c r="H351" s="5" t="s">
        <v>23</v>
      </c>
    </row>
    <row r="352" customFormat="false" ht="15" hidden="false" customHeight="false" outlineLevel="0" collapsed="false">
      <c r="A352" s="5" t="n">
        <v>351</v>
      </c>
      <c r="B352" s="5" t="s">
        <v>313</v>
      </c>
      <c r="C352" s="5" t="s">
        <v>283</v>
      </c>
      <c r="D352" s="5" t="s">
        <v>746</v>
      </c>
      <c r="E352" s="5" t="s">
        <v>747</v>
      </c>
      <c r="F352" s="5"/>
      <c r="G352" s="5" t="str">
        <f aca="false">IF(EXACT(D352,E352),"Tetap","Diubah")</f>
        <v>Diubah</v>
      </c>
      <c r="H352" s="5" t="s">
        <v>23</v>
      </c>
    </row>
    <row r="353" customFormat="false" ht="15" hidden="false" customHeight="false" outlineLevel="0" collapsed="false">
      <c r="A353" s="5" t="n">
        <v>352</v>
      </c>
      <c r="B353" s="5" t="s">
        <v>313</v>
      </c>
      <c r="C353" s="5" t="s">
        <v>283</v>
      </c>
      <c r="D353" s="5" t="s">
        <v>748</v>
      </c>
      <c r="E353" s="5" t="s">
        <v>749</v>
      </c>
      <c r="F353" s="5" t="s">
        <v>750</v>
      </c>
      <c r="G353" s="5" t="str">
        <f aca="false">IF(EXACT(D353,E353),"Tetap","Diubah")</f>
        <v>Diubah</v>
      </c>
      <c r="H353" s="5" t="s">
        <v>23</v>
      </c>
    </row>
    <row r="354" customFormat="false" ht="15" hidden="false" customHeight="false" outlineLevel="0" collapsed="false">
      <c r="A354" s="5" t="n">
        <v>353</v>
      </c>
      <c r="B354" s="5" t="s">
        <v>313</v>
      </c>
      <c r="C354" s="5" t="s">
        <v>54</v>
      </c>
      <c r="D354" s="5" t="s">
        <v>751</v>
      </c>
      <c r="E354" s="5" t="s">
        <v>752</v>
      </c>
      <c r="F354" s="5"/>
      <c r="G354" s="5" t="str">
        <f aca="false">IF(EXACT(D354,E354),"Tetap","Diubah")</f>
        <v>Diubah</v>
      </c>
      <c r="H354" s="5" t="s">
        <v>23</v>
      </c>
    </row>
    <row r="355" customFormat="false" ht="15" hidden="false" customHeight="false" outlineLevel="0" collapsed="false">
      <c r="A355" s="5" t="n">
        <v>354</v>
      </c>
      <c r="B355" s="5" t="s">
        <v>313</v>
      </c>
      <c r="C355" s="5" t="s">
        <v>54</v>
      </c>
      <c r="D355" s="5" t="s">
        <v>753</v>
      </c>
      <c r="E355" s="5" t="s">
        <v>754</v>
      </c>
      <c r="F355" s="5"/>
      <c r="G355" s="5" t="str">
        <f aca="false">IF(EXACT(D355,E355),"Tetap","Diubah")</f>
        <v>Diubah</v>
      </c>
      <c r="H355" s="5" t="s">
        <v>23</v>
      </c>
    </row>
    <row r="356" customFormat="false" ht="15" hidden="false" customHeight="false" outlineLevel="0" collapsed="false">
      <c r="A356" s="5" t="n">
        <v>355</v>
      </c>
      <c r="B356" s="5" t="s">
        <v>313</v>
      </c>
      <c r="C356" s="5" t="s">
        <v>54</v>
      </c>
      <c r="D356" s="5" t="s">
        <v>755</v>
      </c>
      <c r="E356" s="5" t="s">
        <v>756</v>
      </c>
      <c r="F356" s="5"/>
      <c r="G356" s="5" t="str">
        <f aca="false">IF(EXACT(D356,E356),"Tetap","Diubah")</f>
        <v>Diubah</v>
      </c>
      <c r="H356" s="5" t="s">
        <v>23</v>
      </c>
    </row>
    <row r="357" customFormat="false" ht="15" hidden="false" customHeight="false" outlineLevel="0" collapsed="false">
      <c r="A357" s="5" t="n">
        <v>356</v>
      </c>
      <c r="B357" s="5" t="s">
        <v>313</v>
      </c>
      <c r="C357" s="5" t="s">
        <v>330</v>
      </c>
      <c r="D357" s="5" t="s">
        <v>757</v>
      </c>
      <c r="E357" s="5" t="s">
        <v>758</v>
      </c>
      <c r="F357" s="5"/>
      <c r="G357" s="5" t="str">
        <f aca="false">IF(EXACT(D357,E357),"Tetap","Diubah")</f>
        <v>Diubah</v>
      </c>
      <c r="H357" s="5" t="s">
        <v>23</v>
      </c>
    </row>
    <row r="358" customFormat="false" ht="15" hidden="false" customHeight="false" outlineLevel="0" collapsed="false">
      <c r="A358" s="5" t="n">
        <v>357</v>
      </c>
      <c r="B358" s="5" t="s">
        <v>313</v>
      </c>
      <c r="C358" s="5" t="s">
        <v>130</v>
      </c>
      <c r="D358" s="5" t="s">
        <v>759</v>
      </c>
      <c r="E358" s="5" t="s">
        <v>760</v>
      </c>
      <c r="F358" s="5"/>
      <c r="G358" s="5" t="str">
        <f aca="false">IF(EXACT(D358,E358),"Tetap","Diubah")</f>
        <v>Diubah</v>
      </c>
      <c r="H358" s="5" t="s">
        <v>23</v>
      </c>
    </row>
    <row r="359" customFormat="false" ht="23.85" hidden="false" customHeight="false" outlineLevel="0" collapsed="false">
      <c r="A359" s="5" t="n">
        <v>358</v>
      </c>
      <c r="B359" s="5" t="s">
        <v>313</v>
      </c>
      <c r="C359" s="5" t="s">
        <v>130</v>
      </c>
      <c r="D359" s="5" t="s">
        <v>761</v>
      </c>
      <c r="E359" s="5" t="s">
        <v>762</v>
      </c>
      <c r="F359" s="5"/>
      <c r="G359" s="5" t="str">
        <f aca="false">IF(EXACT(D359,E359),"Tetap","Diubah")</f>
        <v>Diubah</v>
      </c>
      <c r="H359" s="5" t="s">
        <v>23</v>
      </c>
    </row>
    <row r="360" customFormat="false" ht="15" hidden="false" customHeight="false" outlineLevel="0" collapsed="false">
      <c r="A360" s="5" t="n">
        <v>359</v>
      </c>
      <c r="B360" s="5" t="s">
        <v>313</v>
      </c>
      <c r="C360" s="5" t="s">
        <v>90</v>
      </c>
      <c r="D360" s="5" t="s">
        <v>763</v>
      </c>
      <c r="E360" s="5" t="s">
        <v>764</v>
      </c>
      <c r="F360" s="5"/>
      <c r="G360" s="5" t="str">
        <f aca="false">IF(EXACT(D360,E360),"Tetap","Diubah")</f>
        <v>Diubah</v>
      </c>
      <c r="H360" s="5" t="s">
        <v>23</v>
      </c>
    </row>
    <row r="361" customFormat="false" ht="15" hidden="false" customHeight="false" outlineLevel="0" collapsed="false">
      <c r="A361" s="5" t="n">
        <v>360</v>
      </c>
      <c r="B361" s="5" t="s">
        <v>313</v>
      </c>
      <c r="C361" s="5" t="s">
        <v>90</v>
      </c>
      <c r="D361" s="5" t="s">
        <v>765</v>
      </c>
      <c r="E361" s="5" t="s">
        <v>765</v>
      </c>
      <c r="F361" s="5" t="s">
        <v>28</v>
      </c>
      <c r="G361" s="5" t="str">
        <f aca="false">IF(EXACT(D361,E361),"Tetap","Diubah")</f>
        <v>Tetap</v>
      </c>
      <c r="H361" s="5" t="s">
        <v>23</v>
      </c>
    </row>
    <row r="362" customFormat="false" ht="15" hidden="false" customHeight="false" outlineLevel="0" collapsed="false">
      <c r="A362" s="5" t="n">
        <v>361</v>
      </c>
      <c r="B362" s="5" t="s">
        <v>313</v>
      </c>
      <c r="C362" s="5" t="s">
        <v>90</v>
      </c>
      <c r="D362" s="5" t="s">
        <v>766</v>
      </c>
      <c r="E362" s="5" t="s">
        <v>766</v>
      </c>
      <c r="F362" s="5" t="s">
        <v>28</v>
      </c>
      <c r="G362" s="5" t="str">
        <f aca="false">IF(EXACT(D362,E362),"Tetap","Diubah")</f>
        <v>Tetap</v>
      </c>
      <c r="H362" s="5" t="s">
        <v>23</v>
      </c>
    </row>
    <row r="363" customFormat="false" ht="15" hidden="false" customHeight="false" outlineLevel="0" collapsed="false">
      <c r="A363" s="5" t="n">
        <v>362</v>
      </c>
      <c r="B363" s="5" t="s">
        <v>313</v>
      </c>
      <c r="C363" s="5" t="s">
        <v>330</v>
      </c>
      <c r="D363" s="5" t="s">
        <v>767</v>
      </c>
      <c r="E363" s="5" t="s">
        <v>768</v>
      </c>
      <c r="F363" s="5" t="s">
        <v>739</v>
      </c>
      <c r="G363" s="5" t="str">
        <f aca="false">IF(EXACT(D363,E363),"Tetap","Diubah")</f>
        <v>Diubah</v>
      </c>
      <c r="H363" s="5" t="s">
        <v>23</v>
      </c>
    </row>
    <row r="364" customFormat="false" ht="15" hidden="false" customHeight="false" outlineLevel="0" collapsed="false">
      <c r="A364" s="5" t="n">
        <v>363</v>
      </c>
      <c r="B364" s="5" t="s">
        <v>313</v>
      </c>
      <c r="C364" s="5" t="s">
        <v>54</v>
      </c>
      <c r="D364" s="5" t="s">
        <v>769</v>
      </c>
      <c r="E364" s="5" t="s">
        <v>770</v>
      </c>
      <c r="F364" s="5"/>
      <c r="G364" s="5" t="str">
        <f aca="false">IF(EXACT(D364,E364),"Tetap","Diubah")</f>
        <v>Diubah</v>
      </c>
      <c r="H364" s="5" t="s">
        <v>23</v>
      </c>
    </row>
    <row r="365" customFormat="false" ht="15" hidden="false" customHeight="false" outlineLevel="0" collapsed="false">
      <c r="A365" s="5" t="n">
        <v>364</v>
      </c>
      <c r="B365" s="5" t="s">
        <v>313</v>
      </c>
      <c r="C365" s="5" t="s">
        <v>90</v>
      </c>
      <c r="D365" s="5" t="s">
        <v>771</v>
      </c>
      <c r="E365" s="5" t="s">
        <v>772</v>
      </c>
      <c r="F365" s="5"/>
      <c r="G365" s="5" t="str">
        <f aca="false">IF(EXACT(D365,E365),"Tetap","Diubah")</f>
        <v>Diubah</v>
      </c>
      <c r="H365" s="5" t="s">
        <v>23</v>
      </c>
    </row>
    <row r="366" customFormat="false" ht="15" hidden="false" customHeight="false" outlineLevel="0" collapsed="false">
      <c r="A366" s="5" t="n">
        <v>365</v>
      </c>
      <c r="B366" s="5" t="s">
        <v>313</v>
      </c>
      <c r="C366" s="5" t="s">
        <v>90</v>
      </c>
      <c r="D366" s="5" t="s">
        <v>773</v>
      </c>
      <c r="E366" s="5" t="s">
        <v>774</v>
      </c>
      <c r="F366" s="5"/>
      <c r="G366" s="5" t="str">
        <f aca="false">IF(EXACT(D366,E366),"Tetap","Diubah")</f>
        <v>Diubah</v>
      </c>
      <c r="H366" s="5" t="s">
        <v>23</v>
      </c>
    </row>
    <row r="367" customFormat="false" ht="15" hidden="false" customHeight="false" outlineLevel="0" collapsed="false">
      <c r="A367" s="5" t="n">
        <v>366</v>
      </c>
      <c r="B367" s="5" t="s">
        <v>313</v>
      </c>
      <c r="C367" s="5" t="s">
        <v>54</v>
      </c>
      <c r="D367" s="5" t="s">
        <v>775</v>
      </c>
      <c r="E367" s="5" t="s">
        <v>776</v>
      </c>
      <c r="F367" s="5"/>
      <c r="G367" s="5" t="str">
        <f aca="false">IF(EXACT(D367,E367),"Tetap","Diubah")</f>
        <v>Diubah</v>
      </c>
      <c r="H367" s="5" t="s">
        <v>23</v>
      </c>
    </row>
    <row r="368" customFormat="false" ht="23.85" hidden="false" customHeight="false" outlineLevel="0" collapsed="false">
      <c r="A368" s="5" t="n">
        <v>367</v>
      </c>
      <c r="B368" s="5" t="s">
        <v>313</v>
      </c>
      <c r="C368" s="5" t="s">
        <v>130</v>
      </c>
      <c r="D368" s="5" t="s">
        <v>777</v>
      </c>
      <c r="E368" s="5" t="s">
        <v>778</v>
      </c>
      <c r="F368" s="5"/>
      <c r="G368" s="5" t="str">
        <f aca="false">IF(EXACT(D368,E368),"Tetap","Diubah")</f>
        <v>Diubah</v>
      </c>
      <c r="H368" s="5" t="s">
        <v>23</v>
      </c>
    </row>
    <row r="369" customFormat="false" ht="15" hidden="false" customHeight="false" outlineLevel="0" collapsed="false">
      <c r="A369" s="5" t="n">
        <v>368</v>
      </c>
      <c r="B369" s="5" t="s">
        <v>313</v>
      </c>
      <c r="C369" s="5" t="s">
        <v>488</v>
      </c>
      <c r="D369" s="5" t="s">
        <v>779</v>
      </c>
      <c r="E369" s="5" t="s">
        <v>779</v>
      </c>
      <c r="F369" s="5" t="s">
        <v>28</v>
      </c>
      <c r="G369" s="5" t="str">
        <f aca="false">IF(EXACT(D369,E369),"Tetap","Diubah")</f>
        <v>Tetap</v>
      </c>
      <c r="H369" s="5" t="s">
        <v>23</v>
      </c>
    </row>
    <row r="370" customFormat="false" ht="15" hidden="false" customHeight="false" outlineLevel="0" collapsed="false">
      <c r="A370" s="5" t="n">
        <v>369</v>
      </c>
      <c r="B370" s="5" t="s">
        <v>313</v>
      </c>
      <c r="C370" s="5" t="s">
        <v>283</v>
      </c>
      <c r="D370" s="5" t="s">
        <v>780</v>
      </c>
      <c r="E370" s="5" t="s">
        <v>781</v>
      </c>
      <c r="F370" s="5"/>
      <c r="G370" s="5" t="str">
        <f aca="false">IF(EXACT(D370,E370),"Tetap","Diubah")</f>
        <v>Diubah</v>
      </c>
      <c r="H370" s="5" t="s">
        <v>23</v>
      </c>
    </row>
    <row r="371" customFormat="false" ht="15" hidden="false" customHeight="false" outlineLevel="0" collapsed="false">
      <c r="A371" s="5" t="n">
        <v>370</v>
      </c>
      <c r="B371" s="5" t="s">
        <v>313</v>
      </c>
      <c r="C371" s="5" t="s">
        <v>283</v>
      </c>
      <c r="D371" s="5" t="s">
        <v>782</v>
      </c>
      <c r="E371" s="5" t="s">
        <v>783</v>
      </c>
      <c r="F371" s="5"/>
      <c r="G371" s="5" t="str">
        <f aca="false">IF(EXACT(D371,E371),"Tetap","Diubah")</f>
        <v>Diubah</v>
      </c>
      <c r="H371" s="5" t="s">
        <v>23</v>
      </c>
    </row>
    <row r="372" customFormat="false" ht="15" hidden="false" customHeight="false" outlineLevel="0" collapsed="false">
      <c r="A372" s="5" t="n">
        <v>371</v>
      </c>
      <c r="B372" s="5" t="s">
        <v>313</v>
      </c>
      <c r="C372" s="5" t="s">
        <v>330</v>
      </c>
      <c r="D372" s="5" t="s">
        <v>784</v>
      </c>
      <c r="E372" s="5" t="s">
        <v>785</v>
      </c>
      <c r="F372" s="5"/>
      <c r="G372" s="5" t="str">
        <f aca="false">IF(EXACT(D372,E372),"Tetap","Diubah")</f>
        <v>Diubah</v>
      </c>
      <c r="H372" s="5" t="s">
        <v>23</v>
      </c>
    </row>
    <row r="373" customFormat="false" ht="15" hidden="false" customHeight="false" outlineLevel="0" collapsed="false">
      <c r="A373" s="5" t="n">
        <v>372</v>
      </c>
      <c r="B373" s="5" t="s">
        <v>313</v>
      </c>
      <c r="C373" s="5" t="s">
        <v>283</v>
      </c>
      <c r="D373" s="5" t="s">
        <v>786</v>
      </c>
      <c r="E373" s="5" t="s">
        <v>786</v>
      </c>
      <c r="F373" s="5" t="s">
        <v>28</v>
      </c>
      <c r="G373" s="5" t="str">
        <f aca="false">IF(EXACT(D373,E373),"Tetap","Diubah")</f>
        <v>Tetap</v>
      </c>
      <c r="H373" s="5" t="s">
        <v>23</v>
      </c>
    </row>
    <row r="374" customFormat="false" ht="15" hidden="false" customHeight="false" outlineLevel="0" collapsed="false">
      <c r="A374" s="5" t="n">
        <v>373</v>
      </c>
      <c r="B374" s="5" t="s">
        <v>313</v>
      </c>
      <c r="C374" s="5" t="s">
        <v>90</v>
      </c>
      <c r="D374" s="5" t="s">
        <v>787</v>
      </c>
      <c r="E374" s="5" t="s">
        <v>788</v>
      </c>
      <c r="F374" s="5"/>
      <c r="G374" s="5" t="str">
        <f aca="false">IF(EXACT(D374,E374),"Tetap","Diubah")</f>
        <v>Diubah</v>
      </c>
      <c r="H374" s="5" t="s">
        <v>23</v>
      </c>
    </row>
    <row r="375" customFormat="false" ht="15" hidden="false" customHeight="false" outlineLevel="0" collapsed="false">
      <c r="A375" s="5" t="n">
        <v>374</v>
      </c>
      <c r="B375" s="5" t="s">
        <v>313</v>
      </c>
      <c r="C375" s="5" t="s">
        <v>90</v>
      </c>
      <c r="D375" s="5" t="s">
        <v>789</v>
      </c>
      <c r="E375" s="5" t="s">
        <v>790</v>
      </c>
      <c r="F375" s="5"/>
      <c r="G375" s="5" t="str">
        <f aca="false">IF(EXACT(D375,E375),"Tetap","Diubah")</f>
        <v>Diubah</v>
      </c>
      <c r="H375" s="5" t="s">
        <v>23</v>
      </c>
    </row>
    <row r="376" customFormat="false" ht="15" hidden="false" customHeight="false" outlineLevel="0" collapsed="false">
      <c r="A376" s="5" t="n">
        <v>375</v>
      </c>
      <c r="B376" s="5" t="s">
        <v>313</v>
      </c>
      <c r="C376" s="5" t="s">
        <v>90</v>
      </c>
      <c r="D376" s="5" t="s">
        <v>791</v>
      </c>
      <c r="E376" s="5" t="s">
        <v>792</v>
      </c>
      <c r="F376" s="5"/>
      <c r="G376" s="5" t="str">
        <f aca="false">IF(EXACT(D376,E376),"Tetap","Diubah")</f>
        <v>Diubah</v>
      </c>
      <c r="H376" s="5" t="s">
        <v>23</v>
      </c>
    </row>
    <row r="377" customFormat="false" ht="15" hidden="false" customHeight="false" outlineLevel="0" collapsed="false">
      <c r="A377" s="5" t="n">
        <v>376</v>
      </c>
      <c r="B377" s="5" t="s">
        <v>313</v>
      </c>
      <c r="C377" s="5" t="s">
        <v>90</v>
      </c>
      <c r="D377" s="5" t="s">
        <v>793</v>
      </c>
      <c r="E377" s="5" t="s">
        <v>794</v>
      </c>
      <c r="F377" s="5"/>
      <c r="G377" s="5" t="str">
        <f aca="false">IF(EXACT(D377,E377),"Tetap","Diubah")</f>
        <v>Diubah</v>
      </c>
      <c r="H377" s="5" t="s">
        <v>23</v>
      </c>
    </row>
    <row r="378" customFormat="false" ht="15" hidden="false" customHeight="false" outlineLevel="0" collapsed="false">
      <c r="A378" s="5" t="n">
        <v>377</v>
      </c>
      <c r="B378" s="5" t="s">
        <v>313</v>
      </c>
      <c r="C378" s="5" t="s">
        <v>90</v>
      </c>
      <c r="D378" s="5" t="s">
        <v>795</v>
      </c>
      <c r="E378" s="5" t="s">
        <v>796</v>
      </c>
      <c r="F378" s="5"/>
      <c r="G378" s="5" t="str">
        <f aca="false">IF(EXACT(D378,E378),"Tetap","Diubah")</f>
        <v>Diubah</v>
      </c>
      <c r="H378" s="5" t="s">
        <v>23</v>
      </c>
    </row>
    <row r="379" customFormat="false" ht="15" hidden="false" customHeight="false" outlineLevel="0" collapsed="false">
      <c r="A379" s="5" t="n">
        <v>378</v>
      </c>
      <c r="B379" s="5" t="s">
        <v>313</v>
      </c>
      <c r="C379" s="5" t="s">
        <v>20</v>
      </c>
      <c r="D379" s="5" t="s">
        <v>797</v>
      </c>
      <c r="E379" s="5" t="s">
        <v>732</v>
      </c>
      <c r="F379" s="5" t="s">
        <v>798</v>
      </c>
      <c r="G379" s="5" t="str">
        <f aca="false">IF(EXACT(D379,E379),"Tetap","Diubah")</f>
        <v>Diubah</v>
      </c>
      <c r="H379" s="5" t="s">
        <v>23</v>
      </c>
    </row>
    <row r="380" customFormat="false" ht="15" hidden="false" customHeight="false" outlineLevel="0" collapsed="false">
      <c r="A380" s="5" t="n">
        <v>379</v>
      </c>
      <c r="B380" s="5" t="s">
        <v>313</v>
      </c>
      <c r="C380" s="5" t="s">
        <v>330</v>
      </c>
      <c r="D380" s="5" t="s">
        <v>799</v>
      </c>
      <c r="E380" s="5" t="s">
        <v>800</v>
      </c>
      <c r="F380" s="5"/>
      <c r="G380" s="5" t="str">
        <f aca="false">IF(EXACT(D380,E380),"Tetap","Diubah")</f>
        <v>Diubah</v>
      </c>
      <c r="H380" s="5" t="s">
        <v>23</v>
      </c>
    </row>
    <row r="381" customFormat="false" ht="15" hidden="false" customHeight="false" outlineLevel="0" collapsed="false">
      <c r="A381" s="5" t="n">
        <v>380</v>
      </c>
      <c r="B381" s="5" t="s">
        <v>313</v>
      </c>
      <c r="C381" s="5" t="s">
        <v>20</v>
      </c>
      <c r="D381" s="5" t="s">
        <v>801</v>
      </c>
      <c r="E381" s="5" t="s">
        <v>21</v>
      </c>
      <c r="F381" s="5"/>
      <c r="G381" s="5" t="str">
        <f aca="false">IF(EXACT(D381,E381),"Tetap","Diubah")</f>
        <v>Diubah</v>
      </c>
      <c r="H381" s="5" t="s">
        <v>23</v>
      </c>
    </row>
    <row r="382" customFormat="false" ht="15" hidden="false" customHeight="false" outlineLevel="0" collapsed="false">
      <c r="A382" s="5" t="n">
        <v>381</v>
      </c>
      <c r="B382" s="5" t="s">
        <v>313</v>
      </c>
      <c r="C382" s="5" t="s">
        <v>71</v>
      </c>
      <c r="D382" s="5" t="s">
        <v>802</v>
      </c>
      <c r="E382" s="5" t="s">
        <v>803</v>
      </c>
      <c r="F382" s="5"/>
      <c r="G382" s="5" t="str">
        <f aca="false">IF(EXACT(D382,E382),"Tetap","Diubah")</f>
        <v>Diubah</v>
      </c>
      <c r="H382" s="5" t="s">
        <v>23</v>
      </c>
    </row>
    <row r="383" customFormat="false" ht="15" hidden="false" customHeight="false" outlineLevel="0" collapsed="false">
      <c r="A383" s="5" t="n">
        <v>382</v>
      </c>
      <c r="B383" s="5" t="s">
        <v>313</v>
      </c>
      <c r="C383" s="5" t="s">
        <v>20</v>
      </c>
      <c r="D383" s="5" t="s">
        <v>804</v>
      </c>
      <c r="E383" s="5" t="s">
        <v>805</v>
      </c>
      <c r="F383" s="5" t="s">
        <v>806</v>
      </c>
      <c r="G383" s="5" t="str">
        <f aca="false">IF(EXACT(D383,E383),"Tetap","Diubah")</f>
        <v>Diubah</v>
      </c>
      <c r="H383" s="5" t="s">
        <v>23</v>
      </c>
    </row>
    <row r="384" customFormat="false" ht="15" hidden="false" customHeight="false" outlineLevel="0" collapsed="false">
      <c r="A384" s="5" t="n">
        <v>383</v>
      </c>
      <c r="B384" s="5" t="s">
        <v>313</v>
      </c>
      <c r="C384" s="5" t="s">
        <v>20</v>
      </c>
      <c r="D384" s="5" t="s">
        <v>804</v>
      </c>
      <c r="E384" s="5" t="s">
        <v>807</v>
      </c>
      <c r="F384" s="5" t="s">
        <v>808</v>
      </c>
      <c r="G384" s="5" t="str">
        <f aca="false">IF(EXACT(D384,E384),"Tetap","Diubah")</f>
        <v>Diubah</v>
      </c>
      <c r="H384" s="5" t="s">
        <v>23</v>
      </c>
    </row>
    <row r="385" customFormat="false" ht="15" hidden="false" customHeight="false" outlineLevel="0" collapsed="false">
      <c r="A385" s="5" t="n">
        <v>384</v>
      </c>
      <c r="B385" s="5" t="s">
        <v>313</v>
      </c>
      <c r="C385" s="5" t="s">
        <v>330</v>
      </c>
      <c r="D385" s="5" t="s">
        <v>809</v>
      </c>
      <c r="E385" s="5" t="s">
        <v>810</v>
      </c>
      <c r="F385" s="5"/>
      <c r="G385" s="5" t="str">
        <f aca="false">IF(EXACT(D385,E385),"Tetap","Diubah")</f>
        <v>Diubah</v>
      </c>
      <c r="H385" s="5" t="s">
        <v>23</v>
      </c>
    </row>
    <row r="386" customFormat="false" ht="23.85" hidden="false" customHeight="false" outlineLevel="0" collapsed="false">
      <c r="A386" s="5" t="n">
        <v>385</v>
      </c>
      <c r="B386" s="5" t="s">
        <v>313</v>
      </c>
      <c r="C386" s="5" t="s">
        <v>130</v>
      </c>
      <c r="D386" s="5" t="s">
        <v>811</v>
      </c>
      <c r="E386" s="5" t="s">
        <v>812</v>
      </c>
      <c r="F386" s="5" t="s">
        <v>813</v>
      </c>
      <c r="G386" s="5" t="str">
        <f aca="false">IF(EXACT(D386,E386),"Tetap","Diubah")</f>
        <v>Diubah</v>
      </c>
      <c r="H386" s="5" t="s">
        <v>23</v>
      </c>
    </row>
    <row r="387" customFormat="false" ht="15" hidden="false" customHeight="false" outlineLevel="0" collapsed="false">
      <c r="A387" s="5" t="n">
        <v>386</v>
      </c>
      <c r="B387" s="5" t="s">
        <v>313</v>
      </c>
      <c r="C387" s="5" t="s">
        <v>130</v>
      </c>
      <c r="D387" s="5" t="s">
        <v>814</v>
      </c>
      <c r="E387" s="5" t="s">
        <v>426</v>
      </c>
      <c r="F387" s="5" t="s">
        <v>815</v>
      </c>
      <c r="G387" s="5" t="str">
        <f aca="false">IF(EXACT(D387,E387),"Tetap","Diubah")</f>
        <v>Diubah</v>
      </c>
      <c r="H387" s="5" t="s">
        <v>23</v>
      </c>
    </row>
    <row r="388" customFormat="false" ht="15" hidden="false" customHeight="false" outlineLevel="0" collapsed="false">
      <c r="A388" s="5" t="n">
        <v>387</v>
      </c>
      <c r="B388" s="5" t="s">
        <v>313</v>
      </c>
      <c r="C388" s="5" t="s">
        <v>20</v>
      </c>
      <c r="D388" s="5" t="s">
        <v>816</v>
      </c>
      <c r="E388" s="5" t="s">
        <v>817</v>
      </c>
      <c r="F388" s="5" t="s">
        <v>818</v>
      </c>
      <c r="G388" s="5" t="str">
        <f aca="false">IF(EXACT(D388,E388),"Tetap","Diubah")</f>
        <v>Diubah</v>
      </c>
      <c r="H388" s="5" t="s">
        <v>23</v>
      </c>
    </row>
    <row r="389" customFormat="false" ht="23.85" hidden="false" customHeight="false" outlineLevel="0" collapsed="false">
      <c r="A389" s="5" t="n">
        <v>388</v>
      </c>
      <c r="B389" s="5" t="s">
        <v>313</v>
      </c>
      <c r="C389" s="5" t="s">
        <v>488</v>
      </c>
      <c r="D389" s="5" t="s">
        <v>819</v>
      </c>
      <c r="E389" s="5" t="s">
        <v>820</v>
      </c>
      <c r="F389" s="5"/>
      <c r="G389" s="5" t="str">
        <f aca="false">IF(EXACT(D389,E389),"Tetap","Diubah")</f>
        <v>Diubah</v>
      </c>
      <c r="H389" s="5" t="s">
        <v>167</v>
      </c>
    </row>
    <row r="390" customFormat="false" ht="35.05" hidden="false" customHeight="false" outlineLevel="0" collapsed="false">
      <c r="A390" s="5" t="n">
        <v>389</v>
      </c>
      <c r="B390" s="5" t="s">
        <v>313</v>
      </c>
      <c r="C390" s="5" t="s">
        <v>163</v>
      </c>
      <c r="D390" s="5" t="s">
        <v>821</v>
      </c>
      <c r="E390" s="5" t="s">
        <v>822</v>
      </c>
      <c r="F390" s="5"/>
      <c r="G390" s="5" t="str">
        <f aca="false">IF(EXACT(D390,E390),"Tetap","Diubah")</f>
        <v>Diubah</v>
      </c>
      <c r="H390" s="5" t="s">
        <v>167</v>
      </c>
    </row>
    <row r="391" customFormat="false" ht="23.85" hidden="false" customHeight="false" outlineLevel="0" collapsed="false">
      <c r="A391" s="5" t="n">
        <v>390</v>
      </c>
      <c r="B391" s="5" t="s">
        <v>313</v>
      </c>
      <c r="C391" s="5" t="s">
        <v>163</v>
      </c>
      <c r="D391" s="5" t="s">
        <v>823</v>
      </c>
      <c r="E391" s="5" t="s">
        <v>824</v>
      </c>
      <c r="F391" s="5"/>
      <c r="G391" s="5" t="str">
        <f aca="false">IF(EXACT(D391,E391),"Tetap","Diubah")</f>
        <v>Diubah</v>
      </c>
      <c r="H391" s="5" t="s">
        <v>167</v>
      </c>
    </row>
    <row r="392" customFormat="false" ht="23.85" hidden="false" customHeight="false" outlineLevel="0" collapsed="false">
      <c r="A392" s="5" t="n">
        <v>391</v>
      </c>
      <c r="B392" s="5" t="s">
        <v>313</v>
      </c>
      <c r="C392" s="5" t="s">
        <v>163</v>
      </c>
      <c r="D392" s="5" t="s">
        <v>825</v>
      </c>
      <c r="E392" s="5" t="s">
        <v>826</v>
      </c>
      <c r="F392" s="5"/>
      <c r="G392" s="5" t="str">
        <f aca="false">IF(EXACT(D392,E392),"Tetap","Diubah")</f>
        <v>Diubah</v>
      </c>
      <c r="H392" s="5" t="s">
        <v>167</v>
      </c>
    </row>
    <row r="393" customFormat="false" ht="46.25" hidden="false" customHeight="false" outlineLevel="0" collapsed="false">
      <c r="A393" s="5" t="n">
        <v>392</v>
      </c>
      <c r="B393" s="5" t="s">
        <v>313</v>
      </c>
      <c r="C393" s="5" t="s">
        <v>485</v>
      </c>
      <c r="D393" s="5" t="s">
        <v>827</v>
      </c>
      <c r="E393" s="5" t="s">
        <v>828</v>
      </c>
      <c r="F393" s="5" t="s">
        <v>829</v>
      </c>
      <c r="G393" s="5" t="str">
        <f aca="false">IF(EXACT(D393,E393),"Tetap","Diubah")</f>
        <v>Diubah</v>
      </c>
      <c r="H393" s="5" t="s">
        <v>167</v>
      </c>
    </row>
    <row r="394" customFormat="false" ht="23.85" hidden="false" customHeight="false" outlineLevel="0" collapsed="false">
      <c r="A394" s="5" t="n">
        <v>393</v>
      </c>
      <c r="B394" s="5" t="s">
        <v>313</v>
      </c>
      <c r="C394" s="5" t="s">
        <v>163</v>
      </c>
      <c r="D394" s="5" t="s">
        <v>830</v>
      </c>
      <c r="E394" s="5" t="s">
        <v>831</v>
      </c>
      <c r="F394" s="5"/>
      <c r="G394" s="5" t="str">
        <f aca="false">IF(EXACT(D394,E394),"Tetap","Diubah")</f>
        <v>Diubah</v>
      </c>
      <c r="H394" s="5" t="s">
        <v>167</v>
      </c>
    </row>
    <row r="395" customFormat="false" ht="23.85" hidden="false" customHeight="false" outlineLevel="0" collapsed="false">
      <c r="A395" s="5" t="n">
        <v>394</v>
      </c>
      <c r="B395" s="5" t="s">
        <v>313</v>
      </c>
      <c r="C395" s="5" t="s">
        <v>175</v>
      </c>
      <c r="D395" s="5" t="s">
        <v>832</v>
      </c>
      <c r="E395" s="5" t="s">
        <v>833</v>
      </c>
      <c r="F395" s="5"/>
      <c r="G395" s="5" t="str">
        <f aca="false">IF(EXACT(D395,E395),"Tetap","Diubah")</f>
        <v>Diubah</v>
      </c>
      <c r="H395" s="5" t="s">
        <v>167</v>
      </c>
    </row>
    <row r="396" customFormat="false" ht="23.85" hidden="false" customHeight="false" outlineLevel="0" collapsed="false">
      <c r="A396" s="5" t="n">
        <v>395</v>
      </c>
      <c r="B396" s="5" t="s">
        <v>313</v>
      </c>
      <c r="C396" s="5" t="s">
        <v>163</v>
      </c>
      <c r="D396" s="5" t="s">
        <v>834</v>
      </c>
      <c r="E396" s="5" t="s">
        <v>835</v>
      </c>
      <c r="F396" s="5"/>
      <c r="G396" s="5" t="str">
        <f aca="false">IF(EXACT(D396,E396),"Tetap","Diubah")</f>
        <v>Diubah</v>
      </c>
      <c r="H396" s="5" t="s">
        <v>167</v>
      </c>
    </row>
    <row r="397" customFormat="false" ht="23.85" hidden="false" customHeight="false" outlineLevel="0" collapsed="false">
      <c r="A397" s="5" t="n">
        <v>396</v>
      </c>
      <c r="B397" s="5" t="s">
        <v>313</v>
      </c>
      <c r="C397" s="5" t="s">
        <v>163</v>
      </c>
      <c r="D397" s="5" t="s">
        <v>836</v>
      </c>
      <c r="E397" s="5" t="s">
        <v>837</v>
      </c>
      <c r="F397" s="5"/>
      <c r="G397" s="5" t="str">
        <f aca="false">IF(EXACT(D397,E397),"Tetap","Diubah")</f>
        <v>Diubah</v>
      </c>
      <c r="H397" s="5" t="s">
        <v>167</v>
      </c>
    </row>
    <row r="398" customFormat="false" ht="23.85" hidden="false" customHeight="false" outlineLevel="0" collapsed="false">
      <c r="A398" s="5" t="n">
        <v>397</v>
      </c>
      <c r="B398" s="5" t="s">
        <v>313</v>
      </c>
      <c r="C398" s="5" t="s">
        <v>163</v>
      </c>
      <c r="D398" s="5" t="s">
        <v>838</v>
      </c>
      <c r="E398" s="5" t="s">
        <v>839</v>
      </c>
      <c r="F398" s="5"/>
      <c r="G398" s="5" t="str">
        <f aca="false">IF(EXACT(D398,E398),"Tetap","Diubah")</f>
        <v>Diubah</v>
      </c>
      <c r="H398" s="5" t="s">
        <v>167</v>
      </c>
    </row>
    <row r="399" customFormat="false" ht="23.85" hidden="false" customHeight="false" outlineLevel="0" collapsed="false">
      <c r="A399" s="5" t="n">
        <v>398</v>
      </c>
      <c r="B399" s="5" t="s">
        <v>313</v>
      </c>
      <c r="C399" s="5" t="s">
        <v>163</v>
      </c>
      <c r="D399" s="5" t="s">
        <v>840</v>
      </c>
      <c r="E399" s="5" t="s">
        <v>841</v>
      </c>
      <c r="F399" s="5"/>
      <c r="G399" s="5" t="str">
        <f aca="false">IF(EXACT(D399,E399),"Tetap","Diubah")</f>
        <v>Diubah</v>
      </c>
      <c r="H399" s="5" t="s">
        <v>167</v>
      </c>
    </row>
    <row r="400" customFormat="false" ht="23.85" hidden="false" customHeight="false" outlineLevel="0" collapsed="false">
      <c r="A400" s="5" t="n">
        <v>399</v>
      </c>
      <c r="B400" s="5" t="s">
        <v>313</v>
      </c>
      <c r="C400" s="5" t="s">
        <v>488</v>
      </c>
      <c r="D400" s="5" t="s">
        <v>842</v>
      </c>
      <c r="E400" s="5" t="s">
        <v>843</v>
      </c>
      <c r="F400" s="5"/>
      <c r="G400" s="5" t="str">
        <f aca="false">IF(EXACT(D400,E400),"Tetap","Diubah")</f>
        <v>Diubah</v>
      </c>
      <c r="H400" s="5" t="s">
        <v>167</v>
      </c>
    </row>
    <row r="401" customFormat="false" ht="23.85" hidden="false" customHeight="false" outlineLevel="0" collapsed="false">
      <c r="A401" s="5" t="n">
        <v>400</v>
      </c>
      <c r="B401" s="5" t="s">
        <v>313</v>
      </c>
      <c r="C401" s="5" t="s">
        <v>488</v>
      </c>
      <c r="D401" s="5" t="s">
        <v>844</v>
      </c>
      <c r="E401" s="5" t="s">
        <v>845</v>
      </c>
      <c r="F401" s="5"/>
      <c r="G401" s="5" t="str">
        <f aca="false">IF(EXACT(D401,E401),"Tetap","Diubah")</f>
        <v>Diubah</v>
      </c>
      <c r="H401" s="5" t="s">
        <v>167</v>
      </c>
    </row>
    <row r="402" customFormat="false" ht="23.85" hidden="false" customHeight="false" outlineLevel="0" collapsed="false">
      <c r="A402" s="5" t="n">
        <v>401</v>
      </c>
      <c r="B402" s="5" t="s">
        <v>313</v>
      </c>
      <c r="C402" s="5" t="s">
        <v>482</v>
      </c>
      <c r="D402" s="5" t="s">
        <v>846</v>
      </c>
      <c r="E402" s="5" t="s">
        <v>847</v>
      </c>
      <c r="F402" s="5"/>
      <c r="G402" s="5" t="str">
        <f aca="false">IF(EXACT(D402,E402),"Tetap","Diubah")</f>
        <v>Diubah</v>
      </c>
      <c r="H402" s="5" t="s">
        <v>167</v>
      </c>
    </row>
    <row r="403" customFormat="false" ht="23.85" hidden="false" customHeight="false" outlineLevel="0" collapsed="false">
      <c r="A403" s="5" t="n">
        <v>402</v>
      </c>
      <c r="B403" s="5" t="s">
        <v>313</v>
      </c>
      <c r="C403" s="5" t="s">
        <v>482</v>
      </c>
      <c r="D403" s="5" t="s">
        <v>848</v>
      </c>
      <c r="E403" s="5" t="s">
        <v>849</v>
      </c>
      <c r="F403" s="5"/>
      <c r="G403" s="5" t="str">
        <f aca="false">IF(EXACT(D403,E403),"Tetap","Diubah")</f>
        <v>Diubah</v>
      </c>
      <c r="H403" s="5" t="s">
        <v>167</v>
      </c>
    </row>
    <row r="404" customFormat="false" ht="23.85" hidden="false" customHeight="false" outlineLevel="0" collapsed="false">
      <c r="A404" s="5" t="n">
        <v>403</v>
      </c>
      <c r="B404" s="5" t="s">
        <v>313</v>
      </c>
      <c r="C404" s="5" t="s">
        <v>482</v>
      </c>
      <c r="D404" s="5" t="s">
        <v>850</v>
      </c>
      <c r="E404" s="5" t="s">
        <v>851</v>
      </c>
      <c r="F404" s="5"/>
      <c r="G404" s="5" t="str">
        <f aca="false">IF(EXACT(D404,E404),"Tetap","Diubah")</f>
        <v>Diubah</v>
      </c>
      <c r="H404" s="5" t="s">
        <v>167</v>
      </c>
    </row>
    <row r="405" customFormat="false" ht="23.85" hidden="false" customHeight="false" outlineLevel="0" collapsed="false">
      <c r="A405" s="5" t="n">
        <v>404</v>
      </c>
      <c r="B405" s="5" t="s">
        <v>313</v>
      </c>
      <c r="C405" s="5" t="s">
        <v>163</v>
      </c>
      <c r="D405" s="5" t="s">
        <v>852</v>
      </c>
      <c r="E405" s="5" t="s">
        <v>853</v>
      </c>
      <c r="F405" s="5"/>
      <c r="G405" s="5" t="str">
        <f aca="false">IF(EXACT(D405,E405),"Tetap","Diubah")</f>
        <v>Diubah</v>
      </c>
      <c r="H405" s="5" t="s">
        <v>167</v>
      </c>
    </row>
    <row r="406" customFormat="false" ht="23.85" hidden="false" customHeight="false" outlineLevel="0" collapsed="false">
      <c r="A406" s="5" t="n">
        <v>405</v>
      </c>
      <c r="B406" s="5" t="s">
        <v>313</v>
      </c>
      <c r="C406" s="5" t="s">
        <v>163</v>
      </c>
      <c r="D406" s="5" t="s">
        <v>854</v>
      </c>
      <c r="E406" s="5" t="s">
        <v>855</v>
      </c>
      <c r="F406" s="5"/>
      <c r="G406" s="5" t="str">
        <f aca="false">IF(EXACT(D406,E406),"Tetap","Diubah")</f>
        <v>Diubah</v>
      </c>
      <c r="H406" s="5" t="s">
        <v>167</v>
      </c>
    </row>
    <row r="407" customFormat="false" ht="23.85" hidden="false" customHeight="false" outlineLevel="0" collapsed="false">
      <c r="A407" s="5" t="n">
        <v>406</v>
      </c>
      <c r="B407" s="5" t="s">
        <v>313</v>
      </c>
      <c r="C407" s="5" t="s">
        <v>163</v>
      </c>
      <c r="D407" s="5" t="s">
        <v>856</v>
      </c>
      <c r="E407" s="5" t="s">
        <v>857</v>
      </c>
      <c r="F407" s="5"/>
      <c r="G407" s="5" t="str">
        <f aca="false">IF(EXACT(D407,E407),"Tetap","Diubah")</f>
        <v>Diubah</v>
      </c>
      <c r="H407" s="5" t="s">
        <v>167</v>
      </c>
    </row>
    <row r="408" customFormat="false" ht="23.85" hidden="false" customHeight="false" outlineLevel="0" collapsed="false">
      <c r="A408" s="5" t="n">
        <v>407</v>
      </c>
      <c r="B408" s="5" t="s">
        <v>313</v>
      </c>
      <c r="C408" s="5" t="s">
        <v>482</v>
      </c>
      <c r="D408" s="5" t="s">
        <v>858</v>
      </c>
      <c r="E408" s="5" t="s">
        <v>859</v>
      </c>
      <c r="F408" s="5"/>
      <c r="G408" s="5" t="str">
        <f aca="false">IF(EXACT(D408,E408),"Tetap","Diubah")</f>
        <v>Diubah</v>
      </c>
      <c r="H408" s="5" t="s">
        <v>167</v>
      </c>
    </row>
    <row r="409" customFormat="false" ht="23.85" hidden="false" customHeight="false" outlineLevel="0" collapsed="false">
      <c r="A409" s="5" t="n">
        <v>408</v>
      </c>
      <c r="B409" s="5" t="s">
        <v>313</v>
      </c>
      <c r="C409" s="5" t="s">
        <v>175</v>
      </c>
      <c r="D409" s="5" t="s">
        <v>860</v>
      </c>
      <c r="E409" s="5" t="s">
        <v>861</v>
      </c>
      <c r="F409" s="5"/>
      <c r="G409" s="5" t="str">
        <f aca="false">IF(EXACT(D409,E409),"Tetap","Diubah")</f>
        <v>Diubah</v>
      </c>
      <c r="H409" s="5" t="s">
        <v>167</v>
      </c>
    </row>
    <row r="410" customFormat="false" ht="23.85" hidden="false" customHeight="false" outlineLevel="0" collapsed="false">
      <c r="A410" s="5" t="n">
        <v>409</v>
      </c>
      <c r="B410" s="5" t="s">
        <v>313</v>
      </c>
      <c r="C410" s="5" t="s">
        <v>163</v>
      </c>
      <c r="D410" s="5" t="s">
        <v>862</v>
      </c>
      <c r="E410" s="5" t="s">
        <v>863</v>
      </c>
      <c r="F410" s="5"/>
      <c r="G410" s="5" t="str">
        <f aca="false">IF(EXACT(D410,E410),"Tetap","Diubah")</f>
        <v>Diubah</v>
      </c>
      <c r="H410" s="5" t="s">
        <v>167</v>
      </c>
    </row>
    <row r="411" customFormat="false" ht="91" hidden="false" customHeight="false" outlineLevel="0" collapsed="false">
      <c r="A411" s="5" t="n">
        <v>410</v>
      </c>
      <c r="B411" s="5" t="s">
        <v>313</v>
      </c>
      <c r="C411" s="5" t="s">
        <v>485</v>
      </c>
      <c r="D411" s="5" t="s">
        <v>864</v>
      </c>
      <c r="E411" s="5" t="s">
        <v>865</v>
      </c>
      <c r="F411" s="5" t="s">
        <v>866</v>
      </c>
      <c r="G411" s="5" t="str">
        <f aca="false">IF(EXACT(D411,E411),"Tetap","Diubah")</f>
        <v>Diubah</v>
      </c>
      <c r="H411" s="5" t="s">
        <v>167</v>
      </c>
    </row>
    <row r="412" customFormat="false" ht="23.85" hidden="false" customHeight="false" outlineLevel="0" collapsed="false">
      <c r="A412" s="5" t="n">
        <v>411</v>
      </c>
      <c r="B412" s="5" t="s">
        <v>313</v>
      </c>
      <c r="C412" s="5" t="s">
        <v>175</v>
      </c>
      <c r="D412" s="5" t="s">
        <v>867</v>
      </c>
      <c r="E412" s="5" t="s">
        <v>868</v>
      </c>
      <c r="F412" s="5"/>
      <c r="G412" s="5" t="str">
        <f aca="false">IF(EXACT(D412,E412),"Tetap","Diubah")</f>
        <v>Diubah</v>
      </c>
      <c r="H412" s="5" t="s">
        <v>167</v>
      </c>
    </row>
    <row r="413" customFormat="false" ht="23.85" hidden="false" customHeight="false" outlineLevel="0" collapsed="false">
      <c r="A413" s="5" t="n">
        <v>412</v>
      </c>
      <c r="B413" s="5" t="s">
        <v>313</v>
      </c>
      <c r="C413" s="5" t="s">
        <v>482</v>
      </c>
      <c r="D413" s="5" t="s">
        <v>869</v>
      </c>
      <c r="E413" s="5" t="s">
        <v>870</v>
      </c>
      <c r="F413" s="5"/>
      <c r="G413" s="5" t="str">
        <f aca="false">IF(EXACT(D413,E413),"Tetap","Diubah")</f>
        <v>Diubah</v>
      </c>
      <c r="H413" s="5" t="s">
        <v>167</v>
      </c>
    </row>
    <row r="414" customFormat="false" ht="57.45" hidden="false" customHeight="false" outlineLevel="0" collapsed="false">
      <c r="A414" s="5" t="n">
        <v>413</v>
      </c>
      <c r="B414" s="5" t="s">
        <v>313</v>
      </c>
      <c r="C414" s="5" t="s">
        <v>175</v>
      </c>
      <c r="D414" s="5" t="s">
        <v>871</v>
      </c>
      <c r="E414" s="5" t="s">
        <v>872</v>
      </c>
      <c r="F414" s="5"/>
      <c r="G414" s="5" t="str">
        <f aca="false">IF(EXACT(D414,E414),"Tetap","Diubah")</f>
        <v>Diubah</v>
      </c>
      <c r="H414" s="5" t="s">
        <v>167</v>
      </c>
    </row>
    <row r="415" customFormat="false" ht="23.85" hidden="false" customHeight="false" outlineLevel="0" collapsed="false">
      <c r="A415" s="5" t="n">
        <v>414</v>
      </c>
      <c r="B415" s="5" t="s">
        <v>313</v>
      </c>
      <c r="C415" s="5" t="s">
        <v>482</v>
      </c>
      <c r="D415" s="5" t="s">
        <v>873</v>
      </c>
      <c r="E415" s="5" t="s">
        <v>874</v>
      </c>
      <c r="F415" s="5"/>
      <c r="G415" s="5" t="str">
        <f aca="false">IF(EXACT(D415,E415),"Tetap","Diubah")</f>
        <v>Diubah</v>
      </c>
      <c r="H415" s="5" t="s">
        <v>167</v>
      </c>
    </row>
    <row r="416" customFormat="false" ht="23.85" hidden="false" customHeight="false" outlineLevel="0" collapsed="false">
      <c r="A416" s="5" t="n">
        <v>415</v>
      </c>
      <c r="B416" s="5" t="s">
        <v>313</v>
      </c>
      <c r="C416" s="5" t="s">
        <v>175</v>
      </c>
      <c r="D416" s="5" t="s">
        <v>875</v>
      </c>
      <c r="E416" s="5" t="s">
        <v>876</v>
      </c>
      <c r="F416" s="5"/>
      <c r="G416" s="5" t="str">
        <f aca="false">IF(EXACT(D416,E416),"Tetap","Diubah")</f>
        <v>Diubah</v>
      </c>
      <c r="H416" s="5" t="s">
        <v>167</v>
      </c>
    </row>
    <row r="417" customFormat="false" ht="23.85" hidden="false" customHeight="false" outlineLevel="0" collapsed="false">
      <c r="A417" s="5" t="n">
        <v>416</v>
      </c>
      <c r="B417" s="5" t="s">
        <v>313</v>
      </c>
      <c r="C417" s="5" t="s">
        <v>488</v>
      </c>
      <c r="D417" s="5" t="s">
        <v>877</v>
      </c>
      <c r="E417" s="5" t="s">
        <v>878</v>
      </c>
      <c r="F417" s="5"/>
      <c r="G417" s="5" t="str">
        <f aca="false">IF(EXACT(D417,E417),"Tetap","Diubah")</f>
        <v>Diubah</v>
      </c>
      <c r="H417" s="5" t="s">
        <v>167</v>
      </c>
    </row>
    <row r="418" customFormat="false" ht="23.85" hidden="false" customHeight="false" outlineLevel="0" collapsed="false">
      <c r="A418" s="5" t="n">
        <v>417</v>
      </c>
      <c r="B418" s="5" t="s">
        <v>313</v>
      </c>
      <c r="C418" s="5" t="s">
        <v>488</v>
      </c>
      <c r="D418" s="5" t="s">
        <v>879</v>
      </c>
      <c r="E418" s="5" t="s">
        <v>880</v>
      </c>
      <c r="F418" s="5"/>
      <c r="G418" s="5" t="str">
        <f aca="false">IF(EXACT(D418,E418),"Tetap","Diubah")</f>
        <v>Diubah</v>
      </c>
      <c r="H418" s="5" t="s">
        <v>167</v>
      </c>
    </row>
    <row r="419" customFormat="false" ht="23.85" hidden="false" customHeight="false" outlineLevel="0" collapsed="false">
      <c r="A419" s="5" t="n">
        <v>418</v>
      </c>
      <c r="B419" s="5" t="s">
        <v>313</v>
      </c>
      <c r="C419" s="5" t="s">
        <v>488</v>
      </c>
      <c r="D419" s="5" t="s">
        <v>881</v>
      </c>
      <c r="E419" s="5" t="s">
        <v>882</v>
      </c>
      <c r="F419" s="5"/>
      <c r="G419" s="5" t="str">
        <f aca="false">IF(EXACT(D419,E419),"Tetap","Diubah")</f>
        <v>Diubah</v>
      </c>
      <c r="H419" s="5" t="s">
        <v>167</v>
      </c>
    </row>
    <row r="420" customFormat="false" ht="23.85" hidden="false" customHeight="false" outlineLevel="0" collapsed="false">
      <c r="A420" s="5" t="n">
        <v>419</v>
      </c>
      <c r="B420" s="5" t="s">
        <v>313</v>
      </c>
      <c r="C420" s="5" t="s">
        <v>488</v>
      </c>
      <c r="D420" s="5" t="s">
        <v>883</v>
      </c>
      <c r="E420" s="5" t="s">
        <v>884</v>
      </c>
      <c r="F420" s="5"/>
      <c r="G420" s="5" t="str">
        <f aca="false">IF(EXACT(D420,E420),"Tetap","Diubah")</f>
        <v>Diubah</v>
      </c>
      <c r="H420" s="5" t="s">
        <v>167</v>
      </c>
    </row>
    <row r="421" customFormat="false" ht="35.05" hidden="false" customHeight="false" outlineLevel="0" collapsed="false">
      <c r="A421" s="5" t="n">
        <v>420</v>
      </c>
      <c r="B421" s="5" t="s">
        <v>313</v>
      </c>
      <c r="C421" s="5" t="s">
        <v>163</v>
      </c>
      <c r="D421" s="5" t="s">
        <v>885</v>
      </c>
      <c r="E421" s="5" t="s">
        <v>886</v>
      </c>
      <c r="F421" s="5"/>
      <c r="G421" s="5" t="str">
        <f aca="false">IF(EXACT(D421,E421),"Tetap","Diubah")</f>
        <v>Diubah</v>
      </c>
      <c r="H421" s="5" t="s">
        <v>167</v>
      </c>
    </row>
    <row r="422" customFormat="false" ht="23.85" hidden="false" customHeight="false" outlineLevel="0" collapsed="false">
      <c r="A422" s="5" t="n">
        <v>421</v>
      </c>
      <c r="B422" s="5" t="s">
        <v>313</v>
      </c>
      <c r="C422" s="5" t="s">
        <v>482</v>
      </c>
      <c r="D422" s="5" t="s">
        <v>887</v>
      </c>
      <c r="E422" s="5" t="s">
        <v>888</v>
      </c>
      <c r="F422" s="5"/>
      <c r="G422" s="5" t="str">
        <f aca="false">IF(EXACT(D422,E422),"Tetap","Diubah")</f>
        <v>Diubah</v>
      </c>
      <c r="H422" s="5" t="s">
        <v>167</v>
      </c>
    </row>
    <row r="423" customFormat="false" ht="23.85" hidden="false" customHeight="false" outlineLevel="0" collapsed="false">
      <c r="A423" s="5" t="n">
        <v>422</v>
      </c>
      <c r="B423" s="5" t="s">
        <v>313</v>
      </c>
      <c r="C423" s="5" t="s">
        <v>163</v>
      </c>
      <c r="D423" s="5" t="s">
        <v>889</v>
      </c>
      <c r="E423" s="5" t="s">
        <v>890</v>
      </c>
      <c r="F423" s="5"/>
      <c r="G423" s="5" t="str">
        <f aca="false">IF(EXACT(D423,E423),"Tetap","Diubah")</f>
        <v>Diubah</v>
      </c>
      <c r="H423" s="5" t="s">
        <v>167</v>
      </c>
    </row>
    <row r="424" customFormat="false" ht="23.85" hidden="false" customHeight="false" outlineLevel="0" collapsed="false">
      <c r="A424" s="5" t="n">
        <v>423</v>
      </c>
      <c r="B424" s="5" t="s">
        <v>313</v>
      </c>
      <c r="C424" s="5" t="s">
        <v>482</v>
      </c>
      <c r="D424" s="5" t="s">
        <v>891</v>
      </c>
      <c r="E424" s="5" t="s">
        <v>892</v>
      </c>
      <c r="F424" s="5"/>
      <c r="G424" s="5" t="str">
        <f aca="false">IF(EXACT(D424,E424),"Tetap","Diubah")</f>
        <v>Diubah</v>
      </c>
      <c r="H424" s="5" t="s">
        <v>167</v>
      </c>
    </row>
    <row r="425" customFormat="false" ht="23.85" hidden="false" customHeight="false" outlineLevel="0" collapsed="false">
      <c r="A425" s="5" t="n">
        <v>424</v>
      </c>
      <c r="B425" s="5" t="s">
        <v>313</v>
      </c>
      <c r="C425" s="5" t="s">
        <v>482</v>
      </c>
      <c r="D425" s="5" t="s">
        <v>893</v>
      </c>
      <c r="E425" s="5" t="s">
        <v>894</v>
      </c>
      <c r="F425" s="5"/>
      <c r="G425" s="5" t="str">
        <f aca="false">IF(EXACT(D425,E425),"Tetap","Diubah")</f>
        <v>Diubah</v>
      </c>
      <c r="H425" s="5" t="s">
        <v>167</v>
      </c>
    </row>
    <row r="426" customFormat="false" ht="23.85" hidden="false" customHeight="false" outlineLevel="0" collapsed="false">
      <c r="A426" s="5" t="n">
        <v>425</v>
      </c>
      <c r="B426" s="5" t="s">
        <v>313</v>
      </c>
      <c r="C426" s="5" t="s">
        <v>163</v>
      </c>
      <c r="D426" s="5" t="s">
        <v>895</v>
      </c>
      <c r="E426" s="5" t="s">
        <v>896</v>
      </c>
      <c r="F426" s="5"/>
      <c r="G426" s="5" t="str">
        <f aca="false">IF(EXACT(D426,E426),"Tetap","Diubah")</f>
        <v>Diubah</v>
      </c>
      <c r="H426" s="5" t="s">
        <v>167</v>
      </c>
    </row>
    <row r="427" customFormat="false" ht="23.85" hidden="false" customHeight="false" outlineLevel="0" collapsed="false">
      <c r="A427" s="5" t="n">
        <v>426</v>
      </c>
      <c r="B427" s="5" t="s">
        <v>313</v>
      </c>
      <c r="C427" s="5" t="s">
        <v>163</v>
      </c>
      <c r="D427" s="5" t="s">
        <v>897</v>
      </c>
      <c r="E427" s="5" t="s">
        <v>898</v>
      </c>
      <c r="F427" s="5"/>
      <c r="G427" s="5" t="str">
        <f aca="false">IF(EXACT(D427,E427),"Tetap","Diubah")</f>
        <v>Diubah</v>
      </c>
      <c r="H427" s="5" t="s">
        <v>167</v>
      </c>
    </row>
    <row r="428" customFormat="false" ht="23.85" hidden="false" customHeight="false" outlineLevel="0" collapsed="false">
      <c r="A428" s="5" t="n">
        <v>427</v>
      </c>
      <c r="B428" s="5" t="s">
        <v>313</v>
      </c>
      <c r="C428" s="5" t="s">
        <v>163</v>
      </c>
      <c r="D428" s="5" t="s">
        <v>899</v>
      </c>
      <c r="E428" s="5" t="s">
        <v>900</v>
      </c>
      <c r="F428" s="5"/>
      <c r="G428" s="5" t="str">
        <f aca="false">IF(EXACT(D428,E428),"Tetap","Diubah")</f>
        <v>Diubah</v>
      </c>
      <c r="H428" s="5" t="s">
        <v>167</v>
      </c>
    </row>
    <row r="429" customFormat="false" ht="23.85" hidden="false" customHeight="false" outlineLevel="0" collapsed="false">
      <c r="A429" s="5" t="n">
        <v>428</v>
      </c>
      <c r="B429" s="5" t="s">
        <v>313</v>
      </c>
      <c r="C429" s="5" t="s">
        <v>163</v>
      </c>
      <c r="D429" s="5" t="s">
        <v>901</v>
      </c>
      <c r="E429" s="5" t="s">
        <v>902</v>
      </c>
      <c r="F429" s="5"/>
      <c r="G429" s="5" t="str">
        <f aca="false">IF(EXACT(D429,E429),"Tetap","Diubah")</f>
        <v>Diubah</v>
      </c>
      <c r="H429" s="5" t="s">
        <v>167</v>
      </c>
    </row>
    <row r="430" customFormat="false" ht="23.85" hidden="false" customHeight="false" outlineLevel="0" collapsed="false">
      <c r="A430" s="5" t="n">
        <v>429</v>
      </c>
      <c r="B430" s="5" t="s">
        <v>313</v>
      </c>
      <c r="C430" s="5" t="s">
        <v>163</v>
      </c>
      <c r="D430" s="5" t="s">
        <v>903</v>
      </c>
      <c r="E430" s="5" t="s">
        <v>904</v>
      </c>
      <c r="F430" s="5"/>
      <c r="G430" s="5" t="str">
        <f aca="false">IF(EXACT(D430,E430),"Tetap","Diubah")</f>
        <v>Diubah</v>
      </c>
      <c r="H430" s="5" t="s">
        <v>167</v>
      </c>
    </row>
    <row r="431" customFormat="false" ht="23.85" hidden="false" customHeight="false" outlineLevel="0" collapsed="false">
      <c r="A431" s="5" t="n">
        <v>430</v>
      </c>
      <c r="B431" s="5" t="s">
        <v>313</v>
      </c>
      <c r="C431" s="5" t="s">
        <v>488</v>
      </c>
      <c r="D431" s="5" t="s">
        <v>905</v>
      </c>
      <c r="E431" s="5" t="s">
        <v>906</v>
      </c>
      <c r="F431" s="5"/>
      <c r="G431" s="5" t="str">
        <f aca="false">IF(EXACT(D431,E431),"Tetap","Diubah")</f>
        <v>Diubah</v>
      </c>
      <c r="H431" s="5" t="s">
        <v>167</v>
      </c>
    </row>
    <row r="432" customFormat="false" ht="23.85" hidden="false" customHeight="false" outlineLevel="0" collapsed="false">
      <c r="A432" s="5" t="n">
        <v>431</v>
      </c>
      <c r="B432" s="5" t="s">
        <v>313</v>
      </c>
      <c r="C432" s="5" t="s">
        <v>163</v>
      </c>
      <c r="D432" s="5" t="s">
        <v>907</v>
      </c>
      <c r="E432" s="5" t="s">
        <v>908</v>
      </c>
      <c r="F432" s="5"/>
      <c r="G432" s="5" t="str">
        <f aca="false">IF(EXACT(D432,E432),"Tetap","Diubah")</f>
        <v>Diubah</v>
      </c>
      <c r="H432" s="5" t="s">
        <v>167</v>
      </c>
    </row>
    <row r="433" customFormat="false" ht="23.85" hidden="false" customHeight="false" outlineLevel="0" collapsed="false">
      <c r="A433" s="5" t="n">
        <v>432</v>
      </c>
      <c r="B433" s="5" t="s">
        <v>313</v>
      </c>
      <c r="C433" s="5" t="s">
        <v>488</v>
      </c>
      <c r="D433" s="5" t="s">
        <v>909</v>
      </c>
      <c r="E433" s="5" t="s">
        <v>910</v>
      </c>
      <c r="F433" s="5"/>
      <c r="G433" s="5" t="str">
        <f aca="false">IF(EXACT(D433,E433),"Tetap","Diubah")</f>
        <v>Diubah</v>
      </c>
      <c r="H433" s="5" t="s">
        <v>167</v>
      </c>
    </row>
    <row r="434" customFormat="false" ht="23.85" hidden="false" customHeight="false" outlineLevel="0" collapsed="false">
      <c r="A434" s="5" t="n">
        <v>433</v>
      </c>
      <c r="B434" s="5" t="s">
        <v>313</v>
      </c>
      <c r="C434" s="5" t="s">
        <v>163</v>
      </c>
      <c r="D434" s="5" t="s">
        <v>911</v>
      </c>
      <c r="E434" s="5" t="s">
        <v>912</v>
      </c>
      <c r="F434" s="5"/>
      <c r="G434" s="5" t="str">
        <f aca="false">IF(EXACT(D434,E434),"Tetap","Diubah")</f>
        <v>Diubah</v>
      </c>
      <c r="H434" s="5" t="s">
        <v>167</v>
      </c>
    </row>
    <row r="435" customFormat="false" ht="23.85" hidden="false" customHeight="false" outlineLevel="0" collapsed="false">
      <c r="A435" s="5" t="n">
        <v>434</v>
      </c>
      <c r="B435" s="5" t="s">
        <v>313</v>
      </c>
      <c r="C435" s="5" t="s">
        <v>163</v>
      </c>
      <c r="D435" s="5" t="s">
        <v>913</v>
      </c>
      <c r="E435" s="5" t="s">
        <v>914</v>
      </c>
      <c r="F435" s="5"/>
      <c r="G435" s="5" t="str">
        <f aca="false">IF(EXACT(D435,E435),"Tetap","Diubah")</f>
        <v>Diubah</v>
      </c>
      <c r="H435" s="5" t="s">
        <v>167</v>
      </c>
    </row>
    <row r="436" customFormat="false" ht="23.85" hidden="false" customHeight="false" outlineLevel="0" collapsed="false">
      <c r="A436" s="5" t="n">
        <v>435</v>
      </c>
      <c r="B436" s="5" t="s">
        <v>313</v>
      </c>
      <c r="C436" s="5" t="s">
        <v>163</v>
      </c>
      <c r="D436" s="5" t="s">
        <v>915</v>
      </c>
      <c r="E436" s="5" t="s">
        <v>916</v>
      </c>
      <c r="F436" s="5"/>
      <c r="G436" s="5" t="str">
        <f aca="false">IF(EXACT(D436,E436),"Tetap","Diubah")</f>
        <v>Diubah</v>
      </c>
      <c r="H436" s="5" t="s">
        <v>167</v>
      </c>
    </row>
    <row r="437" customFormat="false" ht="23.85" hidden="false" customHeight="false" outlineLevel="0" collapsed="false">
      <c r="A437" s="5" t="n">
        <v>436</v>
      </c>
      <c r="B437" s="5" t="s">
        <v>313</v>
      </c>
      <c r="C437" s="5" t="s">
        <v>163</v>
      </c>
      <c r="D437" s="5" t="s">
        <v>917</v>
      </c>
      <c r="E437" s="5" t="s">
        <v>918</v>
      </c>
      <c r="F437" s="5"/>
      <c r="G437" s="5" t="str">
        <f aca="false">IF(EXACT(D437,E437),"Tetap","Diubah")</f>
        <v>Diubah</v>
      </c>
      <c r="H437" s="5" t="s">
        <v>167</v>
      </c>
    </row>
    <row r="438" customFormat="false" ht="23.85" hidden="false" customHeight="false" outlineLevel="0" collapsed="false">
      <c r="A438" s="5" t="n">
        <v>437</v>
      </c>
      <c r="B438" s="5" t="s">
        <v>313</v>
      </c>
      <c r="C438" s="5" t="s">
        <v>482</v>
      </c>
      <c r="D438" s="5" t="s">
        <v>919</v>
      </c>
      <c r="E438" s="5" t="s">
        <v>920</v>
      </c>
      <c r="F438" s="5" t="s">
        <v>921</v>
      </c>
      <c r="G438" s="5" t="str">
        <f aca="false">IF(EXACT(D438,E438),"Tetap","Diubah")</f>
        <v>Diubah</v>
      </c>
      <c r="H438" s="5" t="s">
        <v>167</v>
      </c>
    </row>
    <row r="439" customFormat="false" ht="23.85" hidden="false" customHeight="false" outlineLevel="0" collapsed="false">
      <c r="A439" s="5" t="n">
        <v>438</v>
      </c>
      <c r="B439" s="5" t="s">
        <v>313</v>
      </c>
      <c r="C439" s="5" t="s">
        <v>488</v>
      </c>
      <c r="D439" s="5" t="s">
        <v>922</v>
      </c>
      <c r="E439" s="5" t="s">
        <v>923</v>
      </c>
      <c r="F439" s="5"/>
      <c r="G439" s="5" t="str">
        <f aca="false">IF(EXACT(D439,E439),"Tetap","Diubah")</f>
        <v>Diubah</v>
      </c>
      <c r="H439" s="5" t="s">
        <v>167</v>
      </c>
    </row>
    <row r="440" customFormat="false" ht="23.85" hidden="false" customHeight="false" outlineLevel="0" collapsed="false">
      <c r="A440" s="5" t="n">
        <v>439</v>
      </c>
      <c r="B440" s="5" t="s">
        <v>313</v>
      </c>
      <c r="C440" s="5" t="s">
        <v>485</v>
      </c>
      <c r="D440" s="5" t="s">
        <v>924</v>
      </c>
      <c r="E440" s="5" t="s">
        <v>925</v>
      </c>
      <c r="F440" s="5"/>
      <c r="G440" s="5" t="str">
        <f aca="false">IF(EXACT(D440,E440),"Tetap","Diubah")</f>
        <v>Diubah</v>
      </c>
      <c r="H440" s="5" t="s">
        <v>167</v>
      </c>
    </row>
    <row r="441" customFormat="false" ht="23.85" hidden="false" customHeight="false" outlineLevel="0" collapsed="false">
      <c r="A441" s="5" t="n">
        <v>440</v>
      </c>
      <c r="B441" s="5" t="s">
        <v>313</v>
      </c>
      <c r="C441" s="5" t="s">
        <v>163</v>
      </c>
      <c r="D441" s="5" t="s">
        <v>926</v>
      </c>
      <c r="E441" s="5" t="s">
        <v>927</v>
      </c>
      <c r="F441" s="5"/>
      <c r="G441" s="5" t="str">
        <f aca="false">IF(EXACT(D441,E441),"Tetap","Diubah")</f>
        <v>Diubah</v>
      </c>
      <c r="H441" s="5" t="s">
        <v>167</v>
      </c>
    </row>
    <row r="442" customFormat="false" ht="23.85" hidden="false" customHeight="false" outlineLevel="0" collapsed="false">
      <c r="A442" s="5" t="n">
        <v>441</v>
      </c>
      <c r="B442" s="5" t="s">
        <v>313</v>
      </c>
      <c r="C442" s="5" t="s">
        <v>163</v>
      </c>
      <c r="D442" s="5" t="s">
        <v>928</v>
      </c>
      <c r="E442" s="5" t="s">
        <v>929</v>
      </c>
      <c r="F442" s="5"/>
      <c r="G442" s="5" t="str">
        <f aca="false">IF(EXACT(D442,E442),"Tetap","Diubah")</f>
        <v>Diubah</v>
      </c>
      <c r="H442" s="5" t="s">
        <v>167</v>
      </c>
    </row>
    <row r="443" customFormat="false" ht="23.85" hidden="false" customHeight="false" outlineLevel="0" collapsed="false">
      <c r="A443" s="5" t="n">
        <v>442</v>
      </c>
      <c r="B443" s="5" t="s">
        <v>313</v>
      </c>
      <c r="C443" s="5" t="s">
        <v>485</v>
      </c>
      <c r="D443" s="5" t="s">
        <v>930</v>
      </c>
      <c r="E443" s="5" t="s">
        <v>931</v>
      </c>
      <c r="F443" s="5"/>
      <c r="G443" s="5" t="str">
        <f aca="false">IF(EXACT(D443,E443),"Tetap","Diubah")</f>
        <v>Diubah</v>
      </c>
      <c r="H443" s="5" t="s">
        <v>167</v>
      </c>
    </row>
    <row r="444" customFormat="false" ht="23.85" hidden="false" customHeight="false" outlineLevel="0" collapsed="false">
      <c r="A444" s="5" t="n">
        <v>443</v>
      </c>
      <c r="B444" s="5" t="s">
        <v>313</v>
      </c>
      <c r="C444" s="5" t="s">
        <v>163</v>
      </c>
      <c r="D444" s="5" t="s">
        <v>932</v>
      </c>
      <c r="E444" s="5" t="s">
        <v>933</v>
      </c>
      <c r="F444" s="5"/>
      <c r="G444" s="5" t="str">
        <f aca="false">IF(EXACT(D444,E444),"Tetap","Diubah")</f>
        <v>Diubah</v>
      </c>
      <c r="H444" s="5" t="s">
        <v>167</v>
      </c>
    </row>
    <row r="445" customFormat="false" ht="23.85" hidden="false" customHeight="false" outlineLevel="0" collapsed="false">
      <c r="A445" s="5" t="n">
        <v>444</v>
      </c>
      <c r="B445" s="5" t="s">
        <v>313</v>
      </c>
      <c r="C445" s="5" t="s">
        <v>485</v>
      </c>
      <c r="D445" s="5" t="s">
        <v>934</v>
      </c>
      <c r="E445" s="5" t="s">
        <v>935</v>
      </c>
      <c r="F445" s="5" t="s">
        <v>936</v>
      </c>
      <c r="G445" s="5" t="str">
        <f aca="false">IF(EXACT(D445,E445),"Tetap","Diubah")</f>
        <v>Diubah</v>
      </c>
      <c r="H445" s="5" t="s">
        <v>167</v>
      </c>
    </row>
    <row r="446" customFormat="false" ht="23.85" hidden="false" customHeight="false" outlineLevel="0" collapsed="false">
      <c r="A446" s="5" t="n">
        <v>445</v>
      </c>
      <c r="B446" s="5" t="s">
        <v>313</v>
      </c>
      <c r="C446" s="5" t="s">
        <v>153</v>
      </c>
      <c r="D446" s="5" t="s">
        <v>937</v>
      </c>
      <c r="E446" s="5" t="s">
        <v>938</v>
      </c>
      <c r="F446" s="5"/>
      <c r="G446" s="5" t="str">
        <f aca="false">IF(EXACT(D446,E446),"Tetap","Diubah")</f>
        <v>Diubah</v>
      </c>
      <c r="H446" s="5" t="s">
        <v>167</v>
      </c>
    </row>
    <row r="447" customFormat="false" ht="23.85" hidden="false" customHeight="false" outlineLevel="0" collapsed="false">
      <c r="A447" s="5" t="n">
        <v>446</v>
      </c>
      <c r="B447" s="5" t="s">
        <v>313</v>
      </c>
      <c r="C447" s="5" t="s">
        <v>485</v>
      </c>
      <c r="D447" s="5" t="s">
        <v>939</v>
      </c>
      <c r="E447" s="5" t="s">
        <v>939</v>
      </c>
      <c r="F447" s="5" t="s">
        <v>28</v>
      </c>
      <c r="G447" s="5" t="str">
        <f aca="false">IF(EXACT(D447,E447),"Tetap","Diubah")</f>
        <v>Tetap</v>
      </c>
      <c r="H447" s="5" t="s">
        <v>167</v>
      </c>
    </row>
    <row r="448" customFormat="false" ht="23.85" hidden="false" customHeight="false" outlineLevel="0" collapsed="false">
      <c r="A448" s="5" t="n">
        <v>447</v>
      </c>
      <c r="B448" s="5" t="s">
        <v>313</v>
      </c>
      <c r="C448" s="5" t="s">
        <v>485</v>
      </c>
      <c r="D448" s="5" t="s">
        <v>940</v>
      </c>
      <c r="E448" s="5" t="s">
        <v>941</v>
      </c>
      <c r="F448" s="5"/>
      <c r="G448" s="5" t="str">
        <f aca="false">IF(EXACT(D448,E448),"Tetap","Diubah")</f>
        <v>Diubah</v>
      </c>
      <c r="H448" s="5" t="s">
        <v>167</v>
      </c>
    </row>
    <row r="449" customFormat="false" ht="23.85" hidden="false" customHeight="false" outlineLevel="0" collapsed="false">
      <c r="A449" s="5" t="n">
        <v>448</v>
      </c>
      <c r="B449" s="5" t="s">
        <v>313</v>
      </c>
      <c r="C449" s="5" t="s">
        <v>20</v>
      </c>
      <c r="D449" s="5" t="s">
        <v>942</v>
      </c>
      <c r="E449" s="5" t="s">
        <v>943</v>
      </c>
      <c r="F449" s="5"/>
      <c r="G449" s="5" t="str">
        <f aca="false">IF(EXACT(D449,E449),"Tetap","Diubah")</f>
        <v>Diubah</v>
      </c>
      <c r="H449" s="5" t="s">
        <v>167</v>
      </c>
    </row>
    <row r="450" customFormat="false" ht="23.85" hidden="false" customHeight="false" outlineLevel="0" collapsed="false">
      <c r="A450" s="5" t="n">
        <v>449</v>
      </c>
      <c r="B450" s="5" t="s">
        <v>313</v>
      </c>
      <c r="C450" s="5" t="s">
        <v>153</v>
      </c>
      <c r="D450" s="5" t="s">
        <v>944</v>
      </c>
      <c r="E450" s="5" t="s">
        <v>945</v>
      </c>
      <c r="F450" s="5"/>
      <c r="G450" s="5" t="str">
        <f aca="false">IF(EXACT(D450,E450),"Tetap","Diubah")</f>
        <v>Diubah</v>
      </c>
      <c r="H450" s="5" t="s">
        <v>167</v>
      </c>
    </row>
    <row r="451" customFormat="false" ht="23.85" hidden="false" customHeight="false" outlineLevel="0" collapsed="false">
      <c r="A451" s="5" t="n">
        <v>450</v>
      </c>
      <c r="B451" s="5" t="s">
        <v>313</v>
      </c>
      <c r="C451" s="5" t="s">
        <v>156</v>
      </c>
      <c r="D451" s="5" t="s">
        <v>946</v>
      </c>
      <c r="E451" s="5" t="s">
        <v>947</v>
      </c>
      <c r="F451" s="5"/>
      <c r="G451" s="5" t="str">
        <f aca="false">IF(EXACT(D451,E451),"Tetap","Diubah")</f>
        <v>Diubah</v>
      </c>
      <c r="H451" s="5" t="s">
        <v>167</v>
      </c>
    </row>
    <row r="452" customFormat="false" ht="23.85" hidden="false" customHeight="false" outlineLevel="0" collapsed="false">
      <c r="A452" s="5" t="n">
        <v>451</v>
      </c>
      <c r="B452" s="5" t="s">
        <v>313</v>
      </c>
      <c r="C452" s="5" t="s">
        <v>153</v>
      </c>
      <c r="D452" s="5" t="s">
        <v>948</v>
      </c>
      <c r="E452" s="5" t="s">
        <v>949</v>
      </c>
      <c r="F452" s="5"/>
      <c r="G452" s="5" t="str">
        <f aca="false">IF(EXACT(D452,E452),"Tetap","Diubah")</f>
        <v>Diubah</v>
      </c>
      <c r="H452" s="5" t="s">
        <v>167</v>
      </c>
    </row>
    <row r="453" customFormat="false" ht="23.85" hidden="false" customHeight="false" outlineLevel="0" collapsed="false">
      <c r="A453" s="5" t="n">
        <v>452</v>
      </c>
      <c r="B453" s="5" t="s">
        <v>313</v>
      </c>
      <c r="C453" s="5" t="s">
        <v>153</v>
      </c>
      <c r="D453" s="5" t="s">
        <v>950</v>
      </c>
      <c r="E453" s="5" t="s">
        <v>951</v>
      </c>
      <c r="F453" s="5"/>
      <c r="G453" s="5" t="str">
        <f aca="false">IF(EXACT(D453,E453),"Tetap","Diubah")</f>
        <v>Diubah</v>
      </c>
      <c r="H453" s="5" t="s">
        <v>167</v>
      </c>
    </row>
    <row r="454" customFormat="false" ht="23.85" hidden="false" customHeight="false" outlineLevel="0" collapsed="false">
      <c r="A454" s="5" t="n">
        <v>453</v>
      </c>
      <c r="B454" s="5" t="s">
        <v>313</v>
      </c>
      <c r="C454" s="5" t="s">
        <v>20</v>
      </c>
      <c r="D454" s="5" t="s">
        <v>952</v>
      </c>
      <c r="E454" s="5" t="s">
        <v>952</v>
      </c>
      <c r="F454" s="5" t="s">
        <v>28</v>
      </c>
      <c r="G454" s="5" t="str">
        <f aca="false">IF(EXACT(D454,E454),"Tetap","Diubah")</f>
        <v>Tetap</v>
      </c>
      <c r="H454" s="5" t="s">
        <v>167</v>
      </c>
    </row>
    <row r="455" customFormat="false" ht="23.85" hidden="false" customHeight="false" outlineLevel="0" collapsed="false">
      <c r="A455" s="5" t="n">
        <v>454</v>
      </c>
      <c r="B455" s="5" t="s">
        <v>313</v>
      </c>
      <c r="C455" s="5" t="s">
        <v>175</v>
      </c>
      <c r="D455" s="5" t="s">
        <v>953</v>
      </c>
      <c r="E455" s="5" t="s">
        <v>954</v>
      </c>
      <c r="F455" s="5"/>
      <c r="G455" s="5" t="str">
        <f aca="false">IF(EXACT(D455,E455),"Tetap","Diubah")</f>
        <v>Diubah</v>
      </c>
      <c r="H455" s="5" t="s">
        <v>167</v>
      </c>
    </row>
    <row r="456" customFormat="false" ht="15" hidden="false" customHeight="false" outlineLevel="0" collapsed="false">
      <c r="A456" s="5" t="n">
        <v>455</v>
      </c>
      <c r="B456" s="5" t="s">
        <v>318</v>
      </c>
      <c r="C456" s="5" t="s">
        <v>159</v>
      </c>
      <c r="D456" s="5" t="s">
        <v>955</v>
      </c>
      <c r="E456" s="5" t="s">
        <v>956</v>
      </c>
      <c r="F456" s="5"/>
      <c r="G456" s="5" t="str">
        <f aca="false">IF(EXACT(D456,E456),"Tetap","Diubah")</f>
        <v>Diubah</v>
      </c>
      <c r="H456" s="5" t="s">
        <v>23</v>
      </c>
    </row>
    <row r="457" customFormat="false" ht="15" hidden="false" customHeight="false" outlineLevel="0" collapsed="false">
      <c r="A457" s="5" t="n">
        <v>456</v>
      </c>
      <c r="B457" s="5" t="s">
        <v>318</v>
      </c>
      <c r="C457" s="5" t="s">
        <v>153</v>
      </c>
      <c r="D457" s="5" t="s">
        <v>957</v>
      </c>
      <c r="E457" s="5" t="s">
        <v>958</v>
      </c>
      <c r="F457" s="5"/>
      <c r="G457" s="5" t="str">
        <f aca="false">IF(EXACT(D457,E457),"Tetap","Diubah")</f>
        <v>Diubah</v>
      </c>
      <c r="H457" s="5" t="s">
        <v>23</v>
      </c>
    </row>
    <row r="458" customFormat="false" ht="23.85" hidden="false" customHeight="false" outlineLevel="0" collapsed="false">
      <c r="A458" s="5" t="n">
        <v>457</v>
      </c>
      <c r="B458" s="5" t="s">
        <v>318</v>
      </c>
      <c r="C458" s="5" t="s">
        <v>130</v>
      </c>
      <c r="D458" s="5" t="s">
        <v>959</v>
      </c>
      <c r="E458" s="5" t="s">
        <v>960</v>
      </c>
      <c r="F458" s="5"/>
      <c r="G458" s="5" t="str">
        <f aca="false">IF(EXACT(D458,E458),"Tetap","Diubah")</f>
        <v>Diubah</v>
      </c>
      <c r="H458" s="5" t="s">
        <v>23</v>
      </c>
    </row>
    <row r="459" customFormat="false" ht="15" hidden="false" customHeight="false" outlineLevel="0" collapsed="false">
      <c r="A459" s="5" t="n">
        <v>458</v>
      </c>
      <c r="B459" s="5" t="s">
        <v>318</v>
      </c>
      <c r="C459" s="5" t="s">
        <v>90</v>
      </c>
      <c r="D459" s="5" t="s">
        <v>961</v>
      </c>
      <c r="E459" s="5" t="s">
        <v>961</v>
      </c>
      <c r="F459" s="5" t="s">
        <v>28</v>
      </c>
      <c r="G459" s="5" t="str">
        <f aca="false">IF(EXACT(D459,E459),"Tetap","Diubah")</f>
        <v>Tetap</v>
      </c>
      <c r="H459" s="5" t="s">
        <v>23</v>
      </c>
    </row>
    <row r="460" customFormat="false" ht="15" hidden="false" customHeight="false" outlineLevel="0" collapsed="false">
      <c r="A460" s="5" t="n">
        <v>459</v>
      </c>
      <c r="B460" s="5" t="s">
        <v>318</v>
      </c>
      <c r="C460" s="5" t="s">
        <v>90</v>
      </c>
      <c r="D460" s="5" t="s">
        <v>962</v>
      </c>
      <c r="E460" s="5" t="s">
        <v>963</v>
      </c>
      <c r="F460" s="5"/>
      <c r="G460" s="5" t="str">
        <f aca="false">IF(EXACT(D460,E460),"Tetap","Diubah")</f>
        <v>Diubah</v>
      </c>
      <c r="H460" s="5" t="s">
        <v>23</v>
      </c>
    </row>
    <row r="461" customFormat="false" ht="15" hidden="false" customHeight="false" outlineLevel="0" collapsed="false">
      <c r="A461" s="5" t="n">
        <v>460</v>
      </c>
      <c r="B461" s="5" t="s">
        <v>318</v>
      </c>
      <c r="C461" s="5" t="s">
        <v>90</v>
      </c>
      <c r="D461" s="5" t="s">
        <v>964</v>
      </c>
      <c r="E461" s="5" t="s">
        <v>965</v>
      </c>
      <c r="F461" s="5"/>
      <c r="G461" s="5" t="str">
        <f aca="false">IF(EXACT(D461,E461),"Tetap","Diubah")</f>
        <v>Diubah</v>
      </c>
      <c r="H461" s="5" t="s">
        <v>23</v>
      </c>
    </row>
    <row r="462" customFormat="false" ht="15" hidden="false" customHeight="false" outlineLevel="0" collapsed="false">
      <c r="A462" s="5" t="n">
        <v>461</v>
      </c>
      <c r="B462" s="5" t="s">
        <v>318</v>
      </c>
      <c r="C462" s="5" t="s">
        <v>90</v>
      </c>
      <c r="D462" s="5" t="s">
        <v>966</v>
      </c>
      <c r="E462" s="5" t="s">
        <v>967</v>
      </c>
      <c r="F462" s="5"/>
      <c r="G462" s="5" t="str">
        <f aca="false">IF(EXACT(D462,E462),"Tetap","Diubah")</f>
        <v>Diubah</v>
      </c>
      <c r="H462" s="5" t="s">
        <v>23</v>
      </c>
    </row>
    <row r="463" customFormat="false" ht="15" hidden="false" customHeight="false" outlineLevel="0" collapsed="false">
      <c r="A463" s="5" t="n">
        <v>462</v>
      </c>
      <c r="B463" s="5" t="s">
        <v>318</v>
      </c>
      <c r="C463" s="5" t="s">
        <v>90</v>
      </c>
      <c r="D463" s="5" t="s">
        <v>968</v>
      </c>
      <c r="E463" s="5" t="s">
        <v>969</v>
      </c>
      <c r="F463" s="5"/>
      <c r="G463" s="5" t="str">
        <f aca="false">IF(EXACT(D463,E463),"Tetap","Diubah")</f>
        <v>Diubah</v>
      </c>
      <c r="H463" s="5" t="s">
        <v>23</v>
      </c>
    </row>
    <row r="464" customFormat="false" ht="15" hidden="false" customHeight="false" outlineLevel="0" collapsed="false">
      <c r="A464" s="5" t="n">
        <v>463</v>
      </c>
      <c r="B464" s="5" t="s">
        <v>318</v>
      </c>
      <c r="C464" s="5" t="s">
        <v>20</v>
      </c>
      <c r="D464" s="5" t="s">
        <v>970</v>
      </c>
      <c r="E464" s="5" t="s">
        <v>172</v>
      </c>
      <c r="F464" s="5"/>
      <c r="G464" s="5" t="str">
        <f aca="false">IF(EXACT(D464,E464),"Tetap","Diubah")</f>
        <v>Diubah</v>
      </c>
      <c r="H464" s="5" t="s">
        <v>23</v>
      </c>
    </row>
    <row r="465" customFormat="false" ht="15" hidden="false" customHeight="false" outlineLevel="0" collapsed="false">
      <c r="A465" s="5" t="n">
        <v>464</v>
      </c>
      <c r="B465" s="5" t="s">
        <v>318</v>
      </c>
      <c r="C465" s="5" t="s">
        <v>112</v>
      </c>
      <c r="D465" s="5" t="s">
        <v>971</v>
      </c>
      <c r="E465" s="5" t="s">
        <v>319</v>
      </c>
      <c r="F465" s="5"/>
      <c r="G465" s="5" t="str">
        <f aca="false">IF(EXACT(D465,E465),"Tetap","Diubah")</f>
        <v>Diubah</v>
      </c>
      <c r="H465" s="5" t="s">
        <v>23</v>
      </c>
    </row>
    <row r="466" customFormat="false" ht="15" hidden="false" customHeight="false" outlineLevel="0" collapsed="false">
      <c r="A466" s="5" t="n">
        <v>465</v>
      </c>
      <c r="B466" s="5" t="s">
        <v>318</v>
      </c>
      <c r="C466" s="5" t="s">
        <v>112</v>
      </c>
      <c r="D466" s="5" t="s">
        <v>972</v>
      </c>
      <c r="E466" s="5" t="s">
        <v>973</v>
      </c>
      <c r="F466" s="5"/>
      <c r="G466" s="5" t="str">
        <f aca="false">IF(EXACT(D466,E466),"Tetap","Diubah")</f>
        <v>Diubah</v>
      </c>
      <c r="H466" s="5" t="s">
        <v>23</v>
      </c>
    </row>
    <row r="467" customFormat="false" ht="15" hidden="false" customHeight="false" outlineLevel="0" collapsed="false">
      <c r="A467" s="5" t="n">
        <v>466</v>
      </c>
      <c r="B467" s="5" t="s">
        <v>318</v>
      </c>
      <c r="C467" s="5" t="s">
        <v>330</v>
      </c>
      <c r="D467" s="5" t="s">
        <v>974</v>
      </c>
      <c r="E467" s="5" t="s">
        <v>975</v>
      </c>
      <c r="F467" s="5"/>
      <c r="G467" s="5" t="str">
        <f aca="false">IF(EXACT(D467,E467),"Tetap","Diubah")</f>
        <v>Diubah</v>
      </c>
      <c r="H467" s="5" t="s">
        <v>23</v>
      </c>
    </row>
    <row r="468" customFormat="false" ht="15" hidden="false" customHeight="false" outlineLevel="0" collapsed="false">
      <c r="A468" s="5" t="n">
        <v>467</v>
      </c>
      <c r="B468" s="5" t="s">
        <v>318</v>
      </c>
      <c r="C468" s="5" t="s">
        <v>221</v>
      </c>
      <c r="D468" s="5" t="s">
        <v>976</v>
      </c>
      <c r="E468" s="5" t="s">
        <v>977</v>
      </c>
      <c r="F468" s="5"/>
      <c r="G468" s="5" t="str">
        <f aca="false">IF(EXACT(D468,E468),"Tetap","Diubah")</f>
        <v>Diubah</v>
      </c>
      <c r="H468" s="5" t="s">
        <v>23</v>
      </c>
    </row>
    <row r="469" customFormat="false" ht="15" hidden="false" customHeight="false" outlineLevel="0" collapsed="false">
      <c r="A469" s="5" t="n">
        <v>468</v>
      </c>
      <c r="B469" s="5" t="s">
        <v>318</v>
      </c>
      <c r="C469" s="5" t="s">
        <v>54</v>
      </c>
      <c r="D469" s="5" t="s">
        <v>978</v>
      </c>
      <c r="E469" s="5" t="s">
        <v>979</v>
      </c>
      <c r="F469" s="5"/>
      <c r="G469" s="5" t="str">
        <f aca="false">IF(EXACT(D469,E469),"Tetap","Diubah")</f>
        <v>Diubah</v>
      </c>
      <c r="H469" s="5" t="s">
        <v>23</v>
      </c>
    </row>
    <row r="470" customFormat="false" ht="15" hidden="false" customHeight="false" outlineLevel="0" collapsed="false">
      <c r="A470" s="5" t="n">
        <v>469</v>
      </c>
      <c r="B470" s="5" t="s">
        <v>318</v>
      </c>
      <c r="C470" s="5" t="s">
        <v>90</v>
      </c>
      <c r="D470" s="5" t="s">
        <v>980</v>
      </c>
      <c r="E470" s="5" t="s">
        <v>981</v>
      </c>
      <c r="F470" s="5"/>
      <c r="G470" s="5" t="str">
        <f aca="false">IF(EXACT(D470,E470),"Tetap","Diubah")</f>
        <v>Diubah</v>
      </c>
      <c r="H470" s="5" t="s">
        <v>23</v>
      </c>
    </row>
    <row r="471" customFormat="false" ht="15" hidden="false" customHeight="false" outlineLevel="0" collapsed="false">
      <c r="A471" s="5" t="n">
        <v>470</v>
      </c>
      <c r="B471" s="5" t="s">
        <v>318</v>
      </c>
      <c r="C471" s="5" t="s">
        <v>90</v>
      </c>
      <c r="D471" s="5" t="s">
        <v>982</v>
      </c>
      <c r="E471" s="5" t="s">
        <v>983</v>
      </c>
      <c r="F471" s="5"/>
      <c r="G471" s="5" t="str">
        <f aca="false">IF(EXACT(D471,E471),"Tetap","Diubah")</f>
        <v>Diubah</v>
      </c>
      <c r="H471" s="5" t="s">
        <v>23</v>
      </c>
    </row>
    <row r="472" customFormat="false" ht="15" hidden="false" customHeight="false" outlineLevel="0" collapsed="false">
      <c r="A472" s="5" t="n">
        <v>471</v>
      </c>
      <c r="B472" s="5" t="s">
        <v>318</v>
      </c>
      <c r="C472" s="5" t="s">
        <v>90</v>
      </c>
      <c r="D472" s="5" t="s">
        <v>984</v>
      </c>
      <c r="E472" s="5" t="s">
        <v>985</v>
      </c>
      <c r="F472" s="5"/>
      <c r="G472" s="5" t="str">
        <f aca="false">IF(EXACT(D472,E472),"Tetap","Diubah")</f>
        <v>Diubah</v>
      </c>
      <c r="H472" s="5" t="s">
        <v>23</v>
      </c>
    </row>
    <row r="473" customFormat="false" ht="15" hidden="false" customHeight="false" outlineLevel="0" collapsed="false">
      <c r="A473" s="5" t="n">
        <v>472</v>
      </c>
      <c r="B473" s="5" t="s">
        <v>318</v>
      </c>
      <c r="C473" s="5" t="s">
        <v>90</v>
      </c>
      <c r="D473" s="5" t="s">
        <v>986</v>
      </c>
      <c r="E473" s="5" t="s">
        <v>987</v>
      </c>
      <c r="F473" s="5"/>
      <c r="G473" s="5" t="str">
        <f aca="false">IF(EXACT(D473,E473),"Tetap","Diubah")</f>
        <v>Diubah</v>
      </c>
      <c r="H473" s="5" t="s">
        <v>23</v>
      </c>
    </row>
    <row r="474" customFormat="false" ht="15" hidden="false" customHeight="false" outlineLevel="0" collapsed="false">
      <c r="A474" s="5" t="n">
        <v>473</v>
      </c>
      <c r="B474" s="5" t="s">
        <v>318</v>
      </c>
      <c r="C474" s="5" t="s">
        <v>283</v>
      </c>
      <c r="D474" s="5" t="s">
        <v>988</v>
      </c>
      <c r="E474" s="5" t="s">
        <v>989</v>
      </c>
      <c r="F474" s="5"/>
      <c r="G474" s="5" t="str">
        <f aca="false">IF(EXACT(D474,E474),"Tetap","Diubah")</f>
        <v>Diubah</v>
      </c>
      <c r="H474" s="5" t="s">
        <v>23</v>
      </c>
    </row>
    <row r="475" customFormat="false" ht="15" hidden="false" customHeight="false" outlineLevel="0" collapsed="false">
      <c r="A475" s="5" t="n">
        <v>474</v>
      </c>
      <c r="B475" s="5" t="s">
        <v>318</v>
      </c>
      <c r="C475" s="5" t="s">
        <v>45</v>
      </c>
      <c r="D475" s="5" t="s">
        <v>990</v>
      </c>
      <c r="E475" s="5" t="s">
        <v>991</v>
      </c>
      <c r="F475" s="5"/>
      <c r="G475" s="5" t="str">
        <f aca="false">IF(EXACT(D475,E475),"Tetap","Diubah")</f>
        <v>Diubah</v>
      </c>
      <c r="H475" s="5" t="s">
        <v>23</v>
      </c>
    </row>
    <row r="476" customFormat="false" ht="15" hidden="false" customHeight="false" outlineLevel="0" collapsed="false">
      <c r="A476" s="5" t="n">
        <v>475</v>
      </c>
      <c r="B476" s="5" t="s">
        <v>318</v>
      </c>
      <c r="C476" s="5" t="s">
        <v>100</v>
      </c>
      <c r="D476" s="5" t="s">
        <v>992</v>
      </c>
      <c r="E476" s="5" t="s">
        <v>747</v>
      </c>
      <c r="F476" s="5"/>
      <c r="G476" s="5" t="str">
        <f aca="false">IF(EXACT(D476,E476),"Tetap","Diubah")</f>
        <v>Diubah</v>
      </c>
      <c r="H476" s="5" t="s">
        <v>23</v>
      </c>
    </row>
    <row r="477" customFormat="false" ht="15" hidden="false" customHeight="false" outlineLevel="0" collapsed="false">
      <c r="A477" s="5" t="n">
        <v>476</v>
      </c>
      <c r="B477" s="5" t="s">
        <v>318</v>
      </c>
      <c r="C477" s="5" t="s">
        <v>100</v>
      </c>
      <c r="D477" s="5" t="s">
        <v>993</v>
      </c>
      <c r="E477" s="5" t="s">
        <v>994</v>
      </c>
      <c r="F477" s="5"/>
      <c r="G477" s="5" t="str">
        <f aca="false">IF(EXACT(D477,E477),"Tetap","Diubah")</f>
        <v>Diubah</v>
      </c>
      <c r="H477" s="5" t="s">
        <v>23</v>
      </c>
    </row>
    <row r="478" customFormat="false" ht="15" hidden="false" customHeight="false" outlineLevel="0" collapsed="false">
      <c r="A478" s="5" t="n">
        <v>477</v>
      </c>
      <c r="B478" s="5" t="s">
        <v>318</v>
      </c>
      <c r="C478" s="5" t="s">
        <v>54</v>
      </c>
      <c r="D478" s="5" t="s">
        <v>995</v>
      </c>
      <c r="E478" s="5" t="s">
        <v>756</v>
      </c>
      <c r="F478" s="5"/>
      <c r="G478" s="5" t="str">
        <f aca="false">IF(EXACT(D478,E478),"Tetap","Diubah")</f>
        <v>Diubah</v>
      </c>
      <c r="H478" s="5" t="s">
        <v>23</v>
      </c>
    </row>
    <row r="479" customFormat="false" ht="15" hidden="false" customHeight="false" outlineLevel="0" collapsed="false">
      <c r="A479" s="5" t="n">
        <v>478</v>
      </c>
      <c r="B479" s="5" t="s">
        <v>318</v>
      </c>
      <c r="C479" s="5" t="s">
        <v>130</v>
      </c>
      <c r="D479" s="5" t="s">
        <v>996</v>
      </c>
      <c r="E479" s="5" t="s">
        <v>997</v>
      </c>
      <c r="F479" s="5"/>
      <c r="G479" s="5" t="str">
        <f aca="false">IF(EXACT(D479,E479),"Tetap","Diubah")</f>
        <v>Diubah</v>
      </c>
      <c r="H479" s="5" t="s">
        <v>23</v>
      </c>
    </row>
    <row r="480" customFormat="false" ht="23.85" hidden="false" customHeight="false" outlineLevel="0" collapsed="false">
      <c r="A480" s="5" t="n">
        <v>479</v>
      </c>
      <c r="B480" s="5" t="s">
        <v>318</v>
      </c>
      <c r="C480" s="5" t="s">
        <v>130</v>
      </c>
      <c r="D480" s="5" t="s">
        <v>998</v>
      </c>
      <c r="E480" s="5" t="s">
        <v>999</v>
      </c>
      <c r="F480" s="5"/>
      <c r="G480" s="5" t="str">
        <f aca="false">IF(EXACT(D480,E480),"Tetap","Diubah")</f>
        <v>Diubah</v>
      </c>
      <c r="H480" s="5" t="s">
        <v>23</v>
      </c>
    </row>
    <row r="481" customFormat="false" ht="15" hidden="false" customHeight="false" outlineLevel="0" collapsed="false">
      <c r="A481" s="5" t="n">
        <v>480</v>
      </c>
      <c r="B481" s="5" t="s">
        <v>318</v>
      </c>
      <c r="C481" s="5" t="s">
        <v>54</v>
      </c>
      <c r="D481" s="5" t="s">
        <v>1000</v>
      </c>
      <c r="E481" s="5" t="s">
        <v>1001</v>
      </c>
      <c r="F481" s="5" t="s">
        <v>1002</v>
      </c>
      <c r="G481" s="5" t="str">
        <f aca="false">IF(EXACT(D481,E481),"Tetap","Diubah")</f>
        <v>Diubah</v>
      </c>
      <c r="H481" s="5" t="s">
        <v>23</v>
      </c>
    </row>
    <row r="482" customFormat="false" ht="15" hidden="false" customHeight="false" outlineLevel="0" collapsed="false">
      <c r="A482" s="5" t="n">
        <v>481</v>
      </c>
      <c r="B482" s="5" t="s">
        <v>318</v>
      </c>
      <c r="C482" s="5" t="s">
        <v>54</v>
      </c>
      <c r="D482" s="5" t="s">
        <v>1003</v>
      </c>
      <c r="E482" s="5" t="s">
        <v>1004</v>
      </c>
      <c r="F482" s="5"/>
      <c r="G482" s="5" t="str">
        <f aca="false">IF(EXACT(D482,E482),"Tetap","Diubah")</f>
        <v>Diubah</v>
      </c>
      <c r="H482" s="5" t="s">
        <v>23</v>
      </c>
    </row>
    <row r="483" customFormat="false" ht="15" hidden="false" customHeight="false" outlineLevel="0" collapsed="false">
      <c r="A483" s="5" t="n">
        <v>482</v>
      </c>
      <c r="B483" s="5" t="s">
        <v>318</v>
      </c>
      <c r="C483" s="5" t="s">
        <v>90</v>
      </c>
      <c r="D483" s="5" t="s">
        <v>1005</v>
      </c>
      <c r="E483" s="5" t="s">
        <v>1006</v>
      </c>
      <c r="F483" s="5"/>
      <c r="G483" s="5" t="str">
        <f aca="false">IF(EXACT(D483,E483),"Tetap","Diubah")</f>
        <v>Diubah</v>
      </c>
      <c r="H483" s="5" t="s">
        <v>23</v>
      </c>
    </row>
    <row r="484" customFormat="false" ht="15" hidden="false" customHeight="false" outlineLevel="0" collapsed="false">
      <c r="A484" s="5" t="n">
        <v>483</v>
      </c>
      <c r="B484" s="5" t="s">
        <v>318</v>
      </c>
      <c r="C484" s="5" t="s">
        <v>221</v>
      </c>
      <c r="D484" s="5" t="s">
        <v>1007</v>
      </c>
      <c r="E484" s="5" t="s">
        <v>1008</v>
      </c>
      <c r="F484" s="5"/>
      <c r="G484" s="5" t="str">
        <f aca="false">IF(EXACT(D484,E484),"Tetap","Diubah")</f>
        <v>Diubah</v>
      </c>
      <c r="H484" s="5" t="s">
        <v>23</v>
      </c>
    </row>
    <row r="485" customFormat="false" ht="15" hidden="false" customHeight="false" outlineLevel="0" collapsed="false">
      <c r="A485" s="5" t="n">
        <v>484</v>
      </c>
      <c r="B485" s="5" t="s">
        <v>318</v>
      </c>
      <c r="C485" s="5" t="s">
        <v>54</v>
      </c>
      <c r="D485" s="5" t="s">
        <v>1009</v>
      </c>
      <c r="E485" s="5" t="s">
        <v>1010</v>
      </c>
      <c r="F485" s="5"/>
      <c r="G485" s="5" t="str">
        <f aca="false">IF(EXACT(D485,E485),"Tetap","Diubah")</f>
        <v>Diubah</v>
      </c>
      <c r="H485" s="5" t="s">
        <v>23</v>
      </c>
    </row>
    <row r="486" customFormat="false" ht="15" hidden="false" customHeight="false" outlineLevel="0" collapsed="false">
      <c r="A486" s="5" t="n">
        <v>485</v>
      </c>
      <c r="B486" s="5" t="s">
        <v>318</v>
      </c>
      <c r="C486" s="5" t="s">
        <v>54</v>
      </c>
      <c r="D486" s="5" t="s">
        <v>1011</v>
      </c>
      <c r="E486" s="5" t="s">
        <v>1012</v>
      </c>
      <c r="F486" s="5"/>
      <c r="G486" s="5" t="str">
        <f aca="false">IF(EXACT(D486,E486),"Tetap","Diubah")</f>
        <v>Diubah</v>
      </c>
      <c r="H486" s="5" t="s">
        <v>23</v>
      </c>
    </row>
    <row r="487" customFormat="false" ht="15" hidden="false" customHeight="false" outlineLevel="0" collapsed="false">
      <c r="A487" s="5" t="n">
        <v>486</v>
      </c>
      <c r="B487" s="5" t="s">
        <v>318</v>
      </c>
      <c r="C487" s="5" t="s">
        <v>54</v>
      </c>
      <c r="D487" s="5" t="s">
        <v>1013</v>
      </c>
      <c r="E487" s="5" t="s">
        <v>1014</v>
      </c>
      <c r="F487" s="5"/>
      <c r="G487" s="5" t="str">
        <f aca="false">IF(EXACT(D487,E487),"Tetap","Diubah")</f>
        <v>Diubah</v>
      </c>
      <c r="H487" s="5" t="s">
        <v>23</v>
      </c>
    </row>
    <row r="488" customFormat="false" ht="15" hidden="false" customHeight="false" outlineLevel="0" collapsed="false">
      <c r="A488" s="5" t="n">
        <v>487</v>
      </c>
      <c r="B488" s="5" t="s">
        <v>318</v>
      </c>
      <c r="C488" s="5" t="s">
        <v>54</v>
      </c>
      <c r="D488" s="5" t="s">
        <v>1015</v>
      </c>
      <c r="E488" s="5" t="s">
        <v>1016</v>
      </c>
      <c r="F488" s="5"/>
      <c r="G488" s="5" t="str">
        <f aca="false">IF(EXACT(D488,E488),"Tetap","Diubah")</f>
        <v>Diubah</v>
      </c>
      <c r="H488" s="5" t="s">
        <v>23</v>
      </c>
    </row>
    <row r="489" customFormat="false" ht="15" hidden="false" customHeight="false" outlineLevel="0" collapsed="false">
      <c r="A489" s="5" t="n">
        <v>488</v>
      </c>
      <c r="B489" s="5" t="s">
        <v>318</v>
      </c>
      <c r="C489" s="5" t="s">
        <v>54</v>
      </c>
      <c r="D489" s="5" t="s">
        <v>1017</v>
      </c>
      <c r="E489" s="5" t="s">
        <v>1017</v>
      </c>
      <c r="F489" s="5" t="s">
        <v>1018</v>
      </c>
      <c r="G489" s="5" t="str">
        <f aca="false">IF(EXACT(D489,E489),"Tetap","Diubah")</f>
        <v>Tetap</v>
      </c>
      <c r="H489" s="5" t="s">
        <v>23</v>
      </c>
    </row>
    <row r="490" customFormat="false" ht="15" hidden="false" customHeight="false" outlineLevel="0" collapsed="false">
      <c r="A490" s="5" t="n">
        <v>489</v>
      </c>
      <c r="B490" s="5" t="s">
        <v>318</v>
      </c>
      <c r="C490" s="5" t="s">
        <v>221</v>
      </c>
      <c r="D490" s="5" t="s">
        <v>1019</v>
      </c>
      <c r="E490" s="5" t="s">
        <v>1020</v>
      </c>
      <c r="F490" s="5"/>
      <c r="G490" s="5" t="str">
        <f aca="false">IF(EXACT(D490,E490),"Tetap","Diubah")</f>
        <v>Diubah</v>
      </c>
      <c r="H490" s="5" t="s">
        <v>23</v>
      </c>
    </row>
    <row r="491" customFormat="false" ht="23.85" hidden="false" customHeight="false" outlineLevel="0" collapsed="false">
      <c r="A491" s="5" t="n">
        <v>490</v>
      </c>
      <c r="B491" s="5" t="s">
        <v>318</v>
      </c>
      <c r="C491" s="5" t="s">
        <v>130</v>
      </c>
      <c r="D491" s="5" t="s">
        <v>1021</v>
      </c>
      <c r="E491" s="5" t="s">
        <v>1022</v>
      </c>
      <c r="F491" s="5"/>
      <c r="G491" s="5" t="str">
        <f aca="false">IF(EXACT(D491,E491),"Tetap","Diubah")</f>
        <v>Diubah</v>
      </c>
      <c r="H491" s="5" t="s">
        <v>23</v>
      </c>
    </row>
    <row r="492" customFormat="false" ht="15" hidden="false" customHeight="false" outlineLevel="0" collapsed="false">
      <c r="A492" s="5" t="n">
        <v>491</v>
      </c>
      <c r="B492" s="5" t="s">
        <v>318</v>
      </c>
      <c r="C492" s="5" t="s">
        <v>20</v>
      </c>
      <c r="D492" s="5" t="s">
        <v>1023</v>
      </c>
      <c r="E492" s="5" t="s">
        <v>1024</v>
      </c>
      <c r="F492" s="5"/>
      <c r="G492" s="5" t="str">
        <f aca="false">IF(EXACT(D492,E492),"Tetap","Diubah")</f>
        <v>Diubah</v>
      </c>
      <c r="H492" s="5" t="s">
        <v>23</v>
      </c>
    </row>
    <row r="493" customFormat="false" ht="15" hidden="false" customHeight="false" outlineLevel="0" collapsed="false">
      <c r="A493" s="5" t="n">
        <v>492</v>
      </c>
      <c r="B493" s="5" t="s">
        <v>318</v>
      </c>
      <c r="C493" s="5" t="s">
        <v>283</v>
      </c>
      <c r="D493" s="5" t="s">
        <v>1025</v>
      </c>
      <c r="E493" s="5" t="s">
        <v>1026</v>
      </c>
      <c r="F493" s="5" t="s">
        <v>1027</v>
      </c>
      <c r="G493" s="5" t="str">
        <f aca="false">IF(EXACT(D493,E493),"Tetap","Diubah")</f>
        <v>Diubah</v>
      </c>
      <c r="H493" s="5" t="s">
        <v>23</v>
      </c>
    </row>
    <row r="494" customFormat="false" ht="15" hidden="false" customHeight="false" outlineLevel="0" collapsed="false">
      <c r="A494" s="5" t="n">
        <v>493</v>
      </c>
      <c r="B494" s="5" t="s">
        <v>318</v>
      </c>
      <c r="C494" s="5" t="s">
        <v>71</v>
      </c>
      <c r="D494" s="5" t="s">
        <v>1028</v>
      </c>
      <c r="E494" s="5" t="s">
        <v>1029</v>
      </c>
      <c r="F494" s="5"/>
      <c r="G494" s="5" t="str">
        <f aca="false">IF(EXACT(D494,E494),"Tetap","Diubah")</f>
        <v>Diubah</v>
      </c>
      <c r="H494" s="5" t="s">
        <v>23</v>
      </c>
    </row>
    <row r="495" customFormat="false" ht="15" hidden="false" customHeight="false" outlineLevel="0" collapsed="false">
      <c r="A495" s="5" t="n">
        <v>494</v>
      </c>
      <c r="B495" s="5" t="s">
        <v>318</v>
      </c>
      <c r="C495" s="5" t="s">
        <v>330</v>
      </c>
      <c r="D495" s="5" t="s">
        <v>1030</v>
      </c>
      <c r="E495" s="5" t="s">
        <v>1031</v>
      </c>
      <c r="F495" s="5"/>
      <c r="G495" s="5" t="str">
        <f aca="false">IF(EXACT(D495,E495),"Tetap","Diubah")</f>
        <v>Diubah</v>
      </c>
      <c r="H495" s="5" t="s">
        <v>23</v>
      </c>
    </row>
    <row r="496" customFormat="false" ht="23.85" hidden="false" customHeight="false" outlineLevel="0" collapsed="false">
      <c r="A496" s="5" t="n">
        <v>495</v>
      </c>
      <c r="B496" s="5" t="s">
        <v>318</v>
      </c>
      <c r="C496" s="5" t="s">
        <v>130</v>
      </c>
      <c r="D496" s="5" t="s">
        <v>1032</v>
      </c>
      <c r="E496" s="5" t="s">
        <v>1033</v>
      </c>
      <c r="F496" s="5"/>
      <c r="G496" s="5" t="str">
        <f aca="false">IF(EXACT(D496,E496),"Tetap","Diubah")</f>
        <v>Diubah</v>
      </c>
      <c r="H496" s="5" t="s">
        <v>23</v>
      </c>
    </row>
    <row r="497" customFormat="false" ht="15" hidden="false" customHeight="false" outlineLevel="0" collapsed="false">
      <c r="A497" s="5" t="n">
        <v>496</v>
      </c>
      <c r="B497" s="5" t="s">
        <v>318</v>
      </c>
      <c r="C497" s="5" t="s">
        <v>100</v>
      </c>
      <c r="D497" s="5" t="s">
        <v>1034</v>
      </c>
      <c r="E497" s="5" t="s">
        <v>1035</v>
      </c>
      <c r="F497" s="5"/>
      <c r="G497" s="5" t="str">
        <f aca="false">IF(EXACT(D497,E497),"Tetap","Diubah")</f>
        <v>Diubah</v>
      </c>
      <c r="H497" s="5" t="s">
        <v>23</v>
      </c>
    </row>
    <row r="498" customFormat="false" ht="15" hidden="false" customHeight="false" outlineLevel="0" collapsed="false">
      <c r="A498" s="5" t="n">
        <v>497</v>
      </c>
      <c r="B498" s="5" t="s">
        <v>318</v>
      </c>
      <c r="C498" s="5" t="s">
        <v>20</v>
      </c>
      <c r="D498" s="5" t="s">
        <v>1036</v>
      </c>
      <c r="E498" s="5" t="s">
        <v>1037</v>
      </c>
      <c r="F498" s="5"/>
      <c r="G498" s="5" t="str">
        <f aca="false">IF(EXACT(D498,E498),"Tetap","Diubah")</f>
        <v>Diubah</v>
      </c>
      <c r="H498" s="5" t="s">
        <v>23</v>
      </c>
    </row>
    <row r="499" customFormat="false" ht="23.85" hidden="false" customHeight="false" outlineLevel="0" collapsed="false">
      <c r="A499" s="5" t="n">
        <v>498</v>
      </c>
      <c r="B499" s="5" t="s">
        <v>318</v>
      </c>
      <c r="C499" s="5" t="s">
        <v>488</v>
      </c>
      <c r="D499" s="5" t="s">
        <v>1038</v>
      </c>
      <c r="E499" s="5" t="s">
        <v>1039</v>
      </c>
      <c r="F499" s="5" t="s">
        <v>1040</v>
      </c>
      <c r="G499" s="5" t="str">
        <f aca="false">IF(EXACT(D499,E499),"Tetap","Diubah")</f>
        <v>Diubah</v>
      </c>
      <c r="H499" s="5" t="s">
        <v>167</v>
      </c>
    </row>
    <row r="500" customFormat="false" ht="23.85" hidden="false" customHeight="false" outlineLevel="0" collapsed="false">
      <c r="A500" s="5" t="n">
        <v>499</v>
      </c>
      <c r="B500" s="5" t="s">
        <v>318</v>
      </c>
      <c r="C500" s="5" t="s">
        <v>482</v>
      </c>
      <c r="D500" s="5" t="s">
        <v>1041</v>
      </c>
      <c r="E500" s="5" t="s">
        <v>1042</v>
      </c>
      <c r="F500" s="5"/>
      <c r="G500" s="5" t="str">
        <f aca="false">IF(EXACT(D500,E500),"Tetap","Diubah")</f>
        <v>Diubah</v>
      </c>
      <c r="H500" s="5" t="s">
        <v>167</v>
      </c>
    </row>
    <row r="501" customFormat="false" ht="23.85" hidden="false" customHeight="false" outlineLevel="0" collapsed="false">
      <c r="A501" s="5" t="n">
        <v>500</v>
      </c>
      <c r="B501" s="5" t="s">
        <v>318</v>
      </c>
      <c r="C501" s="5" t="s">
        <v>163</v>
      </c>
      <c r="D501" s="5" t="s">
        <v>1043</v>
      </c>
      <c r="E501" s="5" t="s">
        <v>1044</v>
      </c>
      <c r="F501" s="5"/>
      <c r="G501" s="5" t="str">
        <f aca="false">IF(EXACT(D501,E501),"Tetap","Diubah")</f>
        <v>Diubah</v>
      </c>
      <c r="H501" s="5" t="s">
        <v>167</v>
      </c>
    </row>
    <row r="502" customFormat="false" ht="23.85" hidden="false" customHeight="false" outlineLevel="0" collapsed="false">
      <c r="A502" s="5" t="n">
        <v>501</v>
      </c>
      <c r="B502" s="5" t="s">
        <v>318</v>
      </c>
      <c r="C502" s="5" t="s">
        <v>163</v>
      </c>
      <c r="D502" s="5" t="s">
        <v>1045</v>
      </c>
      <c r="E502" s="5" t="s">
        <v>1046</v>
      </c>
      <c r="F502" s="5"/>
      <c r="G502" s="5" t="str">
        <f aca="false">IF(EXACT(D502,E502),"Tetap","Diubah")</f>
        <v>Diubah</v>
      </c>
      <c r="H502" s="5" t="s">
        <v>167</v>
      </c>
    </row>
    <row r="503" customFormat="false" ht="23.85" hidden="false" customHeight="false" outlineLevel="0" collapsed="false">
      <c r="A503" s="5" t="n">
        <v>502</v>
      </c>
      <c r="B503" s="5" t="s">
        <v>318</v>
      </c>
      <c r="C503" s="5" t="s">
        <v>163</v>
      </c>
      <c r="D503" s="5" t="s">
        <v>1047</v>
      </c>
      <c r="E503" s="5" t="s">
        <v>1048</v>
      </c>
      <c r="F503" s="5"/>
      <c r="G503" s="5" t="str">
        <f aca="false">IF(EXACT(D503,E503),"Tetap","Diubah")</f>
        <v>Diubah</v>
      </c>
      <c r="H503" s="5" t="s">
        <v>167</v>
      </c>
    </row>
    <row r="504" customFormat="false" ht="23.85" hidden="false" customHeight="false" outlineLevel="0" collapsed="false">
      <c r="A504" s="5" t="n">
        <v>503</v>
      </c>
      <c r="B504" s="5" t="s">
        <v>318</v>
      </c>
      <c r="C504" s="5" t="s">
        <v>163</v>
      </c>
      <c r="D504" s="5" t="s">
        <v>1049</v>
      </c>
      <c r="E504" s="5" t="s">
        <v>1050</v>
      </c>
      <c r="F504" s="5" t="s">
        <v>1051</v>
      </c>
      <c r="G504" s="5" t="str">
        <f aca="false">IF(EXACT(D504,E504),"Tetap","Diubah")</f>
        <v>Diubah</v>
      </c>
      <c r="H504" s="5" t="s">
        <v>167</v>
      </c>
    </row>
    <row r="505" customFormat="false" ht="23.85" hidden="false" customHeight="false" outlineLevel="0" collapsed="false">
      <c r="A505" s="5" t="n">
        <v>504</v>
      </c>
      <c r="B505" s="5" t="s">
        <v>318</v>
      </c>
      <c r="C505" s="5" t="s">
        <v>163</v>
      </c>
      <c r="D505" s="5" t="s">
        <v>1052</v>
      </c>
      <c r="E505" s="5" t="s">
        <v>1053</v>
      </c>
      <c r="F505" s="5"/>
      <c r="G505" s="5" t="str">
        <f aca="false">IF(EXACT(D505,E505),"Tetap","Diubah")</f>
        <v>Diubah</v>
      </c>
      <c r="H505" s="5" t="s">
        <v>167</v>
      </c>
    </row>
    <row r="506" customFormat="false" ht="23.85" hidden="false" customHeight="false" outlineLevel="0" collapsed="false">
      <c r="A506" s="5" t="n">
        <v>505</v>
      </c>
      <c r="B506" s="5" t="s">
        <v>318</v>
      </c>
      <c r="C506" s="5" t="s">
        <v>175</v>
      </c>
      <c r="D506" s="5" t="s">
        <v>1054</v>
      </c>
      <c r="E506" s="5" t="s">
        <v>1055</v>
      </c>
      <c r="F506" s="5" t="s">
        <v>1056</v>
      </c>
      <c r="G506" s="5" t="str">
        <f aca="false">IF(EXACT(D506,E506),"Tetap","Diubah")</f>
        <v>Diubah</v>
      </c>
      <c r="H506" s="5" t="s">
        <v>167</v>
      </c>
    </row>
    <row r="507" customFormat="false" ht="23.85" hidden="false" customHeight="false" outlineLevel="0" collapsed="false">
      <c r="A507" s="5" t="n">
        <v>506</v>
      </c>
      <c r="B507" s="5" t="s">
        <v>318</v>
      </c>
      <c r="C507" s="5" t="s">
        <v>163</v>
      </c>
      <c r="D507" s="5" t="s">
        <v>1057</v>
      </c>
      <c r="E507" s="5" t="s">
        <v>1058</v>
      </c>
      <c r="F507" s="5" t="s">
        <v>1059</v>
      </c>
      <c r="G507" s="5" t="str">
        <f aca="false">IF(EXACT(D507,E507),"Tetap","Diubah")</f>
        <v>Diubah</v>
      </c>
      <c r="H507" s="5" t="s">
        <v>167</v>
      </c>
    </row>
    <row r="508" customFormat="false" ht="23.85" hidden="false" customHeight="false" outlineLevel="0" collapsed="false">
      <c r="A508" s="5" t="n">
        <v>507</v>
      </c>
      <c r="B508" s="5" t="s">
        <v>318</v>
      </c>
      <c r="C508" s="5" t="s">
        <v>163</v>
      </c>
      <c r="D508" s="5" t="s">
        <v>1060</v>
      </c>
      <c r="E508" s="5" t="s">
        <v>1061</v>
      </c>
      <c r="F508" s="5"/>
      <c r="G508" s="5" t="str">
        <f aca="false">IF(EXACT(D508,E508),"Tetap","Diubah")</f>
        <v>Diubah</v>
      </c>
      <c r="H508" s="5" t="s">
        <v>167</v>
      </c>
    </row>
    <row r="509" customFormat="false" ht="23.85" hidden="false" customHeight="false" outlineLevel="0" collapsed="false">
      <c r="A509" s="5" t="n">
        <v>508</v>
      </c>
      <c r="B509" s="5" t="s">
        <v>318</v>
      </c>
      <c r="C509" s="5" t="s">
        <v>485</v>
      </c>
      <c r="D509" s="5" t="s">
        <v>1062</v>
      </c>
      <c r="E509" s="5" t="s">
        <v>1063</v>
      </c>
      <c r="F509" s="5"/>
      <c r="G509" s="5" t="str">
        <f aca="false">IF(EXACT(D509,E509),"Tetap","Diubah")</f>
        <v>Diubah</v>
      </c>
      <c r="H509" s="5" t="s">
        <v>167</v>
      </c>
    </row>
    <row r="510" customFormat="false" ht="23.85" hidden="false" customHeight="false" outlineLevel="0" collapsed="false">
      <c r="A510" s="5" t="n">
        <v>509</v>
      </c>
      <c r="B510" s="5" t="s">
        <v>318</v>
      </c>
      <c r="C510" s="5" t="s">
        <v>163</v>
      </c>
      <c r="D510" s="5" t="s">
        <v>1064</v>
      </c>
      <c r="E510" s="5" t="s">
        <v>1065</v>
      </c>
      <c r="F510" s="5"/>
      <c r="G510" s="5" t="str">
        <f aca="false">IF(EXACT(D510,E510),"Tetap","Diubah")</f>
        <v>Diubah</v>
      </c>
      <c r="H510" s="5" t="s">
        <v>167</v>
      </c>
    </row>
    <row r="511" customFormat="false" ht="23.85" hidden="false" customHeight="false" outlineLevel="0" collapsed="false">
      <c r="A511" s="5" t="n">
        <v>510</v>
      </c>
      <c r="B511" s="5" t="s">
        <v>318</v>
      </c>
      <c r="C511" s="5" t="s">
        <v>175</v>
      </c>
      <c r="D511" s="5" t="s">
        <v>1066</v>
      </c>
      <c r="E511" s="5" t="s">
        <v>1067</v>
      </c>
      <c r="F511" s="5" t="s">
        <v>577</v>
      </c>
      <c r="G511" s="5" t="str">
        <f aca="false">IF(EXACT(D511,E511),"Tetap","Diubah")</f>
        <v>Diubah</v>
      </c>
      <c r="H511" s="5" t="s">
        <v>167</v>
      </c>
    </row>
    <row r="512" customFormat="false" ht="23.85" hidden="false" customHeight="false" outlineLevel="0" collapsed="false">
      <c r="A512" s="5" t="n">
        <v>511</v>
      </c>
      <c r="B512" s="5" t="s">
        <v>318</v>
      </c>
      <c r="C512" s="5" t="s">
        <v>163</v>
      </c>
      <c r="D512" s="5" t="s">
        <v>1068</v>
      </c>
      <c r="E512" s="5" t="s">
        <v>1069</v>
      </c>
      <c r="F512" s="5"/>
      <c r="G512" s="5" t="str">
        <f aca="false">IF(EXACT(D512,E512),"Tetap","Diubah")</f>
        <v>Diubah</v>
      </c>
      <c r="H512" s="5" t="s">
        <v>167</v>
      </c>
    </row>
    <row r="513" customFormat="false" ht="23.85" hidden="false" customHeight="false" outlineLevel="0" collapsed="false">
      <c r="A513" s="5" t="n">
        <v>512</v>
      </c>
      <c r="B513" s="5" t="s">
        <v>318</v>
      </c>
      <c r="C513" s="5" t="s">
        <v>175</v>
      </c>
      <c r="D513" s="5" t="s">
        <v>1070</v>
      </c>
      <c r="E513" s="5" t="s">
        <v>1070</v>
      </c>
      <c r="F513" s="5"/>
      <c r="G513" s="5" t="str">
        <f aca="false">IF(EXACT(D513,E513),"Tetap","Diubah")</f>
        <v>Tetap</v>
      </c>
      <c r="H513" s="5" t="s">
        <v>167</v>
      </c>
    </row>
    <row r="514" customFormat="false" ht="15" hidden="false" customHeight="false" outlineLevel="0" collapsed="false">
      <c r="A514" s="5" t="n">
        <v>513</v>
      </c>
      <c r="B514" s="5" t="s">
        <v>1071</v>
      </c>
      <c r="C514" s="5" t="s">
        <v>159</v>
      </c>
      <c r="D514" s="5" t="s">
        <v>1072</v>
      </c>
      <c r="E514" s="5" t="s">
        <v>1073</v>
      </c>
      <c r="F514" s="5"/>
      <c r="G514" s="5" t="str">
        <f aca="false">IF(EXACT(D514,E514),"Tetap","Diubah")</f>
        <v>Diubah</v>
      </c>
      <c r="H514" s="5" t="s">
        <v>23</v>
      </c>
    </row>
    <row r="515" customFormat="false" ht="15" hidden="false" customHeight="false" outlineLevel="0" collapsed="false">
      <c r="A515" s="5" t="n">
        <v>514</v>
      </c>
      <c r="B515" s="5" t="s">
        <v>1071</v>
      </c>
      <c r="C515" s="5" t="s">
        <v>112</v>
      </c>
      <c r="D515" s="5" t="s">
        <v>1074</v>
      </c>
      <c r="E515" s="5" t="s">
        <v>1075</v>
      </c>
      <c r="F515" s="5"/>
      <c r="G515" s="5" t="str">
        <f aca="false">IF(EXACT(D515,E515),"Tetap","Diubah")</f>
        <v>Diubah</v>
      </c>
      <c r="H515" s="5" t="s">
        <v>23</v>
      </c>
    </row>
    <row r="516" customFormat="false" ht="15" hidden="false" customHeight="false" outlineLevel="0" collapsed="false">
      <c r="A516" s="5" t="n">
        <v>515</v>
      </c>
      <c r="B516" s="5" t="s">
        <v>1071</v>
      </c>
      <c r="C516" s="5" t="s">
        <v>330</v>
      </c>
      <c r="D516" s="5" t="s">
        <v>1076</v>
      </c>
      <c r="E516" s="5" t="s">
        <v>1077</v>
      </c>
      <c r="F516" s="5"/>
      <c r="G516" s="5" t="str">
        <f aca="false">IF(EXACT(D516,E516),"Tetap","Diubah")</f>
        <v>Diubah</v>
      </c>
      <c r="H516" s="5" t="s">
        <v>23</v>
      </c>
    </row>
    <row r="517" customFormat="false" ht="15" hidden="false" customHeight="false" outlineLevel="0" collapsed="false">
      <c r="A517" s="5" t="n">
        <v>516</v>
      </c>
      <c r="B517" s="5" t="s">
        <v>1071</v>
      </c>
      <c r="C517" s="5" t="s">
        <v>221</v>
      </c>
      <c r="D517" s="5" t="s">
        <v>976</v>
      </c>
      <c r="E517" s="5" t="s">
        <v>1078</v>
      </c>
      <c r="F517" s="5"/>
      <c r="G517" s="5" t="str">
        <f aca="false">IF(EXACT(D517,E517),"Tetap","Diubah")</f>
        <v>Diubah</v>
      </c>
      <c r="H517" s="5" t="s">
        <v>23</v>
      </c>
    </row>
    <row r="518" customFormat="false" ht="15" hidden="false" customHeight="false" outlineLevel="0" collapsed="false">
      <c r="A518" s="5" t="n">
        <v>517</v>
      </c>
      <c r="B518" s="5" t="s">
        <v>1071</v>
      </c>
      <c r="C518" s="5" t="s">
        <v>100</v>
      </c>
      <c r="D518" s="5" t="s">
        <v>1079</v>
      </c>
      <c r="E518" s="5" t="s">
        <v>1080</v>
      </c>
      <c r="F518" s="5"/>
      <c r="G518" s="5" t="str">
        <f aca="false">IF(EXACT(D518,E518),"Tetap","Diubah")</f>
        <v>Diubah</v>
      </c>
      <c r="H518" s="5" t="s">
        <v>23</v>
      </c>
    </row>
    <row r="519" customFormat="false" ht="15" hidden="false" customHeight="false" outlineLevel="0" collapsed="false">
      <c r="A519" s="5" t="n">
        <v>518</v>
      </c>
      <c r="B519" s="5" t="s">
        <v>1071</v>
      </c>
      <c r="C519" s="5" t="s">
        <v>130</v>
      </c>
      <c r="D519" s="5" t="s">
        <v>1081</v>
      </c>
      <c r="E519" s="5" t="s">
        <v>745</v>
      </c>
      <c r="F519" s="5"/>
      <c r="G519" s="5" t="str">
        <f aca="false">IF(EXACT(D519,E519),"Tetap","Diubah")</f>
        <v>Diubah</v>
      </c>
      <c r="H519" s="5" t="s">
        <v>23</v>
      </c>
    </row>
    <row r="520" customFormat="false" ht="15" hidden="false" customHeight="false" outlineLevel="0" collapsed="false">
      <c r="A520" s="5" t="n">
        <v>519</v>
      </c>
      <c r="B520" s="5" t="s">
        <v>1071</v>
      </c>
      <c r="C520" s="5" t="s">
        <v>54</v>
      </c>
      <c r="D520" s="5" t="s">
        <v>1082</v>
      </c>
      <c r="E520" s="5" t="s">
        <v>1083</v>
      </c>
      <c r="F520" s="5"/>
      <c r="G520" s="5" t="str">
        <f aca="false">IF(EXACT(D520,E520),"Tetap","Diubah")</f>
        <v>Diubah</v>
      </c>
      <c r="H520" s="5" t="s">
        <v>23</v>
      </c>
    </row>
    <row r="521" customFormat="false" ht="15" hidden="false" customHeight="false" outlineLevel="0" collapsed="false">
      <c r="A521" s="5" t="n">
        <v>520</v>
      </c>
      <c r="B521" s="5" t="s">
        <v>1071</v>
      </c>
      <c r="C521" s="5" t="s">
        <v>90</v>
      </c>
      <c r="D521" s="5" t="s">
        <v>1084</v>
      </c>
      <c r="E521" s="5" t="s">
        <v>1085</v>
      </c>
      <c r="F521" s="5"/>
      <c r="G521" s="5" t="str">
        <f aca="false">IF(EXACT(D521,E521),"Tetap","Diubah")</f>
        <v>Diubah</v>
      </c>
      <c r="H521" s="5" t="s">
        <v>23</v>
      </c>
    </row>
    <row r="522" customFormat="false" ht="15" hidden="false" customHeight="false" outlineLevel="0" collapsed="false">
      <c r="A522" s="5" t="n">
        <v>521</v>
      </c>
      <c r="B522" s="5" t="s">
        <v>1071</v>
      </c>
      <c r="C522" s="5" t="s">
        <v>130</v>
      </c>
      <c r="D522" s="5" t="s">
        <v>1086</v>
      </c>
      <c r="E522" s="5" t="s">
        <v>1087</v>
      </c>
      <c r="F522" s="5"/>
      <c r="G522" s="5" t="str">
        <f aca="false">IF(EXACT(D522,E522),"Tetap","Diubah")</f>
        <v>Diubah</v>
      </c>
      <c r="H522" s="5" t="s">
        <v>23</v>
      </c>
    </row>
    <row r="523" customFormat="false" ht="15" hidden="false" customHeight="false" outlineLevel="0" collapsed="false">
      <c r="A523" s="5" t="n">
        <v>522</v>
      </c>
      <c r="B523" s="5" t="s">
        <v>1071</v>
      </c>
      <c r="C523" s="5" t="s">
        <v>90</v>
      </c>
      <c r="D523" s="5" t="s">
        <v>1088</v>
      </c>
      <c r="E523" s="5" t="s">
        <v>1089</v>
      </c>
      <c r="F523" s="5"/>
      <c r="G523" s="5" t="str">
        <f aca="false">IF(EXACT(D523,E523),"Tetap","Diubah")</f>
        <v>Diubah</v>
      </c>
      <c r="H523" s="5" t="s">
        <v>23</v>
      </c>
    </row>
    <row r="524" customFormat="false" ht="23.85" hidden="false" customHeight="false" outlineLevel="0" collapsed="false">
      <c r="A524" s="5" t="n">
        <v>523</v>
      </c>
      <c r="B524" s="5" t="s">
        <v>1071</v>
      </c>
      <c r="C524" s="5" t="s">
        <v>130</v>
      </c>
      <c r="D524" s="5" t="s">
        <v>1090</v>
      </c>
      <c r="E524" s="5" t="s">
        <v>1091</v>
      </c>
      <c r="F524" s="5" t="s">
        <v>1092</v>
      </c>
      <c r="G524" s="5" t="str">
        <f aca="false">IF(EXACT(D524,E524),"Tetap","Diubah")</f>
        <v>Diubah</v>
      </c>
      <c r="H524" s="5" t="s">
        <v>23</v>
      </c>
    </row>
    <row r="525" customFormat="false" ht="15" hidden="false" customHeight="false" outlineLevel="0" collapsed="false">
      <c r="A525" s="5" t="n">
        <v>524</v>
      </c>
      <c r="B525" s="5" t="s">
        <v>1071</v>
      </c>
      <c r="C525" s="5" t="s">
        <v>20</v>
      </c>
      <c r="D525" s="5" t="s">
        <v>1093</v>
      </c>
      <c r="E525" s="5" t="s">
        <v>1075</v>
      </c>
      <c r="F525" s="5"/>
      <c r="G525" s="5" t="str">
        <f aca="false">IF(EXACT(D525,E525),"Tetap","Diubah")</f>
        <v>Diubah</v>
      </c>
      <c r="H525" s="5" t="s">
        <v>23</v>
      </c>
    </row>
    <row r="526" customFormat="false" ht="15" hidden="false" customHeight="false" outlineLevel="0" collapsed="false">
      <c r="A526" s="5" t="n">
        <v>525</v>
      </c>
      <c r="B526" s="5" t="s">
        <v>1071</v>
      </c>
      <c r="C526" s="5" t="s">
        <v>330</v>
      </c>
      <c r="D526" s="5" t="s">
        <v>1094</v>
      </c>
      <c r="E526" s="5" t="s">
        <v>1095</v>
      </c>
      <c r="F526" s="5"/>
      <c r="G526" s="5" t="str">
        <f aca="false">IF(EXACT(D526,E526),"Tetap","Diubah")</f>
        <v>Diubah</v>
      </c>
      <c r="H526" s="5" t="s">
        <v>23</v>
      </c>
    </row>
    <row r="527" customFormat="false" ht="15" hidden="false" customHeight="false" outlineLevel="0" collapsed="false">
      <c r="A527" s="5" t="n">
        <v>526</v>
      </c>
      <c r="B527" s="5" t="s">
        <v>1071</v>
      </c>
      <c r="C527" s="5" t="s">
        <v>20</v>
      </c>
      <c r="D527" s="5" t="s">
        <v>1096</v>
      </c>
      <c r="E527" s="5" t="s">
        <v>965</v>
      </c>
      <c r="F527" s="5"/>
      <c r="G527" s="5" t="str">
        <f aca="false">IF(EXACT(D527,E527),"Tetap","Diubah")</f>
        <v>Diubah</v>
      </c>
      <c r="H527" s="5" t="s">
        <v>23</v>
      </c>
    </row>
    <row r="528" customFormat="false" ht="23.85" hidden="false" customHeight="false" outlineLevel="0" collapsed="false">
      <c r="A528" s="5" t="n">
        <v>527</v>
      </c>
      <c r="B528" s="5" t="s">
        <v>1071</v>
      </c>
      <c r="C528" s="5" t="s">
        <v>71</v>
      </c>
      <c r="D528" s="5" t="s">
        <v>1097</v>
      </c>
      <c r="E528" s="5" t="s">
        <v>1098</v>
      </c>
      <c r="F528" s="5"/>
      <c r="G528" s="5" t="str">
        <f aca="false">IF(EXACT(D528,E528),"Tetap","Diubah")</f>
        <v>Diubah</v>
      </c>
      <c r="H528" s="5" t="s">
        <v>23</v>
      </c>
    </row>
    <row r="529" customFormat="false" ht="15" hidden="false" customHeight="false" outlineLevel="0" collapsed="false">
      <c r="A529" s="5" t="n">
        <v>528</v>
      </c>
      <c r="B529" s="5" t="s">
        <v>1071</v>
      </c>
      <c r="C529" s="5" t="s">
        <v>330</v>
      </c>
      <c r="D529" s="5" t="s">
        <v>1099</v>
      </c>
      <c r="E529" s="5" t="s">
        <v>1100</v>
      </c>
      <c r="F529" s="5"/>
      <c r="G529" s="5" t="str">
        <f aca="false">IF(EXACT(D529,E529),"Tetap","Diubah")</f>
        <v>Diubah</v>
      </c>
      <c r="H529" s="5" t="s">
        <v>23</v>
      </c>
    </row>
    <row r="530" customFormat="false" ht="15" hidden="false" customHeight="false" outlineLevel="0" collapsed="false">
      <c r="A530" s="5" t="n">
        <v>529</v>
      </c>
      <c r="B530" s="5" t="s">
        <v>1071</v>
      </c>
      <c r="C530" s="5" t="s">
        <v>130</v>
      </c>
      <c r="D530" s="5" t="s">
        <v>1101</v>
      </c>
      <c r="E530" s="5" t="s">
        <v>1102</v>
      </c>
      <c r="F530" s="5"/>
      <c r="G530" s="5" t="str">
        <f aca="false">IF(EXACT(D530,E530),"Tetap","Diubah")</f>
        <v>Diubah</v>
      </c>
      <c r="H530" s="5" t="s">
        <v>23</v>
      </c>
    </row>
    <row r="531" customFormat="false" ht="23.85" hidden="false" customHeight="false" outlineLevel="0" collapsed="false">
      <c r="A531" s="5" t="n">
        <v>530</v>
      </c>
      <c r="B531" s="5" t="s">
        <v>1071</v>
      </c>
      <c r="C531" s="5" t="s">
        <v>488</v>
      </c>
      <c r="D531" s="5" t="s">
        <v>1103</v>
      </c>
      <c r="E531" s="5" t="s">
        <v>1104</v>
      </c>
      <c r="F531" s="5"/>
      <c r="G531" s="5" t="str">
        <f aca="false">IF(EXACT(D531,E531),"Tetap","Diubah")</f>
        <v>Diubah</v>
      </c>
      <c r="H531" s="5" t="s">
        <v>167</v>
      </c>
    </row>
    <row r="532" customFormat="false" ht="23.85" hidden="false" customHeight="false" outlineLevel="0" collapsed="false">
      <c r="A532" s="5" t="n">
        <v>531</v>
      </c>
      <c r="B532" s="5" t="s">
        <v>1071</v>
      </c>
      <c r="C532" s="5" t="s">
        <v>488</v>
      </c>
      <c r="D532" s="5" t="s">
        <v>1105</v>
      </c>
      <c r="E532" s="5" t="s">
        <v>1106</v>
      </c>
      <c r="F532" s="5" t="s">
        <v>1107</v>
      </c>
      <c r="G532" s="5" t="str">
        <f aca="false">IF(EXACT(D532,E532),"Tetap","Diubah")</f>
        <v>Diubah</v>
      </c>
      <c r="H532" s="5" t="s">
        <v>167</v>
      </c>
    </row>
    <row r="533" customFormat="false" ht="23.85" hidden="false" customHeight="false" outlineLevel="0" collapsed="false">
      <c r="A533" s="5" t="n">
        <v>532</v>
      </c>
      <c r="B533" s="5" t="s">
        <v>1071</v>
      </c>
      <c r="C533" s="5" t="s">
        <v>163</v>
      </c>
      <c r="D533" s="5" t="s">
        <v>1108</v>
      </c>
      <c r="E533" s="5" t="s">
        <v>1109</v>
      </c>
      <c r="F533" s="5"/>
      <c r="G533" s="5" t="str">
        <f aca="false">IF(EXACT(D533,E533),"Tetap","Diubah")</f>
        <v>Diubah</v>
      </c>
      <c r="H533" s="5" t="s">
        <v>167</v>
      </c>
    </row>
    <row r="534" customFormat="false" ht="23.85" hidden="false" customHeight="false" outlineLevel="0" collapsed="false">
      <c r="A534" s="5" t="n">
        <v>533</v>
      </c>
      <c r="B534" s="5" t="s">
        <v>1071</v>
      </c>
      <c r="C534" s="5" t="s">
        <v>163</v>
      </c>
      <c r="D534" s="5" t="s">
        <v>1110</v>
      </c>
      <c r="E534" s="5" t="s">
        <v>1111</v>
      </c>
      <c r="F534" s="5"/>
      <c r="G534" s="5" t="str">
        <f aca="false">IF(EXACT(D534,E534),"Tetap","Diubah")</f>
        <v>Diubah</v>
      </c>
      <c r="H534" s="5" t="s">
        <v>167</v>
      </c>
    </row>
    <row r="535" customFormat="false" ht="23.85" hidden="false" customHeight="false" outlineLevel="0" collapsed="false">
      <c r="A535" s="5" t="n">
        <v>534</v>
      </c>
      <c r="B535" s="5" t="s">
        <v>1071</v>
      </c>
      <c r="C535" s="5" t="s">
        <v>175</v>
      </c>
      <c r="D535" s="5" t="s">
        <v>1112</v>
      </c>
      <c r="E535" s="5" t="s">
        <v>1113</v>
      </c>
      <c r="F535" s="5" t="s">
        <v>1114</v>
      </c>
      <c r="G535" s="5" t="str">
        <f aca="false">IF(EXACT(D535,E535),"Tetap","Diubah")</f>
        <v>Diubah</v>
      </c>
      <c r="H535" s="5" t="s">
        <v>167</v>
      </c>
    </row>
    <row r="536" customFormat="false" ht="23.85" hidden="false" customHeight="false" outlineLevel="0" collapsed="false">
      <c r="A536" s="5" t="n">
        <v>535</v>
      </c>
      <c r="B536" s="5" t="s">
        <v>1071</v>
      </c>
      <c r="C536" s="5" t="s">
        <v>163</v>
      </c>
      <c r="D536" s="5" t="s">
        <v>1115</v>
      </c>
      <c r="E536" s="5" t="s">
        <v>1116</v>
      </c>
      <c r="F536" s="5"/>
      <c r="G536" s="5" t="str">
        <f aca="false">IF(EXACT(D536,E536),"Tetap","Diubah")</f>
        <v>Diubah</v>
      </c>
      <c r="H536" s="5" t="s">
        <v>167</v>
      </c>
    </row>
    <row r="537" customFormat="false" ht="23.85" hidden="false" customHeight="false" outlineLevel="0" collapsed="false">
      <c r="A537" s="5" t="n">
        <v>536</v>
      </c>
      <c r="B537" s="5" t="s">
        <v>1071</v>
      </c>
      <c r="C537" s="5" t="s">
        <v>163</v>
      </c>
      <c r="D537" s="5" t="s">
        <v>1117</v>
      </c>
      <c r="E537" s="5" t="s">
        <v>1118</v>
      </c>
      <c r="F537" s="5"/>
      <c r="G537" s="5" t="str">
        <f aca="false">IF(EXACT(D537,E537),"Tetap","Diubah")</f>
        <v>Diubah</v>
      </c>
      <c r="H537" s="5" t="s">
        <v>167</v>
      </c>
    </row>
    <row r="538" customFormat="false" ht="23.85" hidden="false" customHeight="false" outlineLevel="0" collapsed="false">
      <c r="A538" s="5" t="n">
        <v>537</v>
      </c>
      <c r="B538" s="5" t="s">
        <v>1071</v>
      </c>
      <c r="C538" s="5" t="s">
        <v>485</v>
      </c>
      <c r="D538" s="5" t="s">
        <v>1119</v>
      </c>
      <c r="E538" s="5" t="s">
        <v>1120</v>
      </c>
      <c r="F538" s="5"/>
      <c r="G538" s="5" t="str">
        <f aca="false">IF(EXACT(D538,E538),"Tetap","Diubah")</f>
        <v>Diubah</v>
      </c>
      <c r="H538" s="5" t="s">
        <v>167</v>
      </c>
    </row>
    <row r="539" customFormat="false" ht="23.85" hidden="false" customHeight="false" outlineLevel="0" collapsed="false">
      <c r="A539" s="5" t="n">
        <v>538</v>
      </c>
      <c r="B539" s="5" t="s">
        <v>1071</v>
      </c>
      <c r="C539" s="5" t="s">
        <v>175</v>
      </c>
      <c r="D539" s="5" t="s">
        <v>1121</v>
      </c>
      <c r="E539" s="5" t="s">
        <v>1122</v>
      </c>
      <c r="F539" s="5"/>
      <c r="G539" s="5" t="str">
        <f aca="false">IF(EXACT(D539,E539),"Tetap","Diubah")</f>
        <v>Diubah</v>
      </c>
      <c r="H539" s="5" t="s">
        <v>167</v>
      </c>
    </row>
    <row r="540" customFormat="false" ht="23.85" hidden="false" customHeight="false" outlineLevel="0" collapsed="false">
      <c r="A540" s="5" t="n">
        <v>539</v>
      </c>
      <c r="B540" s="5" t="s">
        <v>1071</v>
      </c>
      <c r="C540" s="5" t="s">
        <v>163</v>
      </c>
      <c r="D540" s="5" t="s">
        <v>1123</v>
      </c>
      <c r="E540" s="5" t="s">
        <v>1124</v>
      </c>
      <c r="F540" s="5"/>
      <c r="G540" s="5" t="str">
        <f aca="false">IF(EXACT(D540,E540),"Tetap","Diubah")</f>
        <v>Diubah</v>
      </c>
      <c r="H540" s="5" t="s">
        <v>167</v>
      </c>
    </row>
    <row r="541" customFormat="false" ht="15" hidden="false" customHeight="false" outlineLevel="0" collapsed="false">
      <c r="A541" s="5" t="n">
        <v>540</v>
      </c>
      <c r="B541" s="5" t="s">
        <v>308</v>
      </c>
      <c r="C541" s="5" t="s">
        <v>159</v>
      </c>
      <c r="D541" s="5" t="s">
        <v>1125</v>
      </c>
      <c r="E541" s="5" t="s">
        <v>1126</v>
      </c>
      <c r="F541" s="5"/>
      <c r="G541" s="5" t="str">
        <f aca="false">IF(EXACT(D541,E541),"Tetap","Diubah")</f>
        <v>Diubah</v>
      </c>
      <c r="H541" s="5" t="s">
        <v>23</v>
      </c>
    </row>
    <row r="542" customFormat="false" ht="15" hidden="false" customHeight="false" outlineLevel="0" collapsed="false">
      <c r="A542" s="5" t="n">
        <v>541</v>
      </c>
      <c r="B542" s="5" t="s">
        <v>308</v>
      </c>
      <c r="C542" s="5" t="s">
        <v>1127</v>
      </c>
      <c r="D542" s="5" t="s">
        <v>1128</v>
      </c>
      <c r="E542" s="5" t="s">
        <v>1129</v>
      </c>
      <c r="F542" s="5" t="s">
        <v>1130</v>
      </c>
      <c r="G542" s="5" t="str">
        <f aca="false">IF(EXACT(D542,E542),"Tetap","Diubah")</f>
        <v>Diubah</v>
      </c>
      <c r="H542" s="5" t="s">
        <v>23</v>
      </c>
    </row>
    <row r="543" customFormat="false" ht="15" hidden="false" customHeight="false" outlineLevel="0" collapsed="false">
      <c r="A543" s="5" t="n">
        <v>542</v>
      </c>
      <c r="B543" s="5" t="s">
        <v>308</v>
      </c>
      <c r="C543" s="5" t="s">
        <v>112</v>
      </c>
      <c r="D543" s="5" t="s">
        <v>1131</v>
      </c>
      <c r="E543" s="5" t="s">
        <v>1132</v>
      </c>
      <c r="F543" s="5"/>
      <c r="G543" s="5" t="str">
        <f aca="false">IF(EXACT(D543,E543),"Tetap","Diubah")</f>
        <v>Diubah</v>
      </c>
      <c r="H543" s="5" t="s">
        <v>23</v>
      </c>
    </row>
    <row r="544" customFormat="false" ht="15" hidden="false" customHeight="false" outlineLevel="0" collapsed="false">
      <c r="A544" s="5" t="n">
        <v>543</v>
      </c>
      <c r="B544" s="5" t="s">
        <v>308</v>
      </c>
      <c r="C544" s="5" t="s">
        <v>112</v>
      </c>
      <c r="D544" s="5" t="s">
        <v>1133</v>
      </c>
      <c r="E544" s="5" t="s">
        <v>1134</v>
      </c>
      <c r="F544" s="5" t="s">
        <v>1135</v>
      </c>
      <c r="G544" s="5" t="str">
        <f aca="false">IF(EXACT(D544,E544),"Tetap","Diubah")</f>
        <v>Diubah</v>
      </c>
      <c r="H544" s="5" t="s">
        <v>23</v>
      </c>
    </row>
    <row r="545" customFormat="false" ht="15" hidden="false" customHeight="false" outlineLevel="0" collapsed="false">
      <c r="A545" s="5" t="n">
        <v>544</v>
      </c>
      <c r="B545" s="5" t="s">
        <v>308</v>
      </c>
      <c r="C545" s="5" t="s">
        <v>112</v>
      </c>
      <c r="D545" s="5" t="s">
        <v>1136</v>
      </c>
      <c r="E545" s="5" t="s">
        <v>1136</v>
      </c>
      <c r="F545" s="5" t="s">
        <v>28</v>
      </c>
      <c r="G545" s="5" t="str">
        <f aca="false">IF(EXACT(D545,E545),"Tetap","Diubah")</f>
        <v>Tetap</v>
      </c>
      <c r="H545" s="5" t="s">
        <v>23</v>
      </c>
    </row>
    <row r="546" customFormat="false" ht="15" hidden="false" customHeight="false" outlineLevel="0" collapsed="false">
      <c r="A546" s="5" t="n">
        <v>545</v>
      </c>
      <c r="B546" s="5" t="s">
        <v>308</v>
      </c>
      <c r="C546" s="5" t="s">
        <v>112</v>
      </c>
      <c r="D546" s="5" t="s">
        <v>1137</v>
      </c>
      <c r="E546" s="5" t="s">
        <v>1137</v>
      </c>
      <c r="F546" s="5" t="s">
        <v>1138</v>
      </c>
      <c r="G546" s="5" t="str">
        <f aca="false">IF(EXACT(D546,E546),"Tetap","Diubah")</f>
        <v>Tetap</v>
      </c>
      <c r="H546" s="5" t="s">
        <v>23</v>
      </c>
    </row>
    <row r="547" customFormat="false" ht="15" hidden="false" customHeight="false" outlineLevel="0" collapsed="false">
      <c r="A547" s="5" t="n">
        <v>546</v>
      </c>
      <c r="B547" s="5" t="s">
        <v>308</v>
      </c>
      <c r="C547" s="5" t="s">
        <v>112</v>
      </c>
      <c r="D547" s="5" t="s">
        <v>1139</v>
      </c>
      <c r="E547" s="5" t="s">
        <v>1140</v>
      </c>
      <c r="F547" s="5" t="s">
        <v>1138</v>
      </c>
      <c r="G547" s="5" t="str">
        <f aca="false">IF(EXACT(D547,E547),"Tetap","Diubah")</f>
        <v>Diubah</v>
      </c>
      <c r="H547" s="5" t="s">
        <v>23</v>
      </c>
    </row>
    <row r="548" customFormat="false" ht="15" hidden="false" customHeight="false" outlineLevel="0" collapsed="false">
      <c r="A548" s="5" t="n">
        <v>547</v>
      </c>
      <c r="B548" s="5" t="s">
        <v>308</v>
      </c>
      <c r="C548" s="5" t="s">
        <v>112</v>
      </c>
      <c r="D548" s="5" t="s">
        <v>1141</v>
      </c>
      <c r="E548" s="5" t="s">
        <v>1141</v>
      </c>
      <c r="F548" s="5" t="s">
        <v>28</v>
      </c>
      <c r="G548" s="5" t="str">
        <f aca="false">IF(EXACT(D548,E548),"Tetap","Diubah")</f>
        <v>Tetap</v>
      </c>
      <c r="H548" s="5" t="s">
        <v>23</v>
      </c>
    </row>
    <row r="549" customFormat="false" ht="15" hidden="false" customHeight="false" outlineLevel="0" collapsed="false">
      <c r="A549" s="5" t="n">
        <v>548</v>
      </c>
      <c r="B549" s="5" t="s">
        <v>308</v>
      </c>
      <c r="C549" s="5" t="s">
        <v>112</v>
      </c>
      <c r="D549" s="5" t="s">
        <v>1142</v>
      </c>
      <c r="E549" s="5" t="s">
        <v>1142</v>
      </c>
      <c r="F549" s="5" t="s">
        <v>28</v>
      </c>
      <c r="G549" s="5" t="str">
        <f aca="false">IF(EXACT(D549,E549),"Tetap","Diubah")</f>
        <v>Tetap</v>
      </c>
      <c r="H549" s="5" t="s">
        <v>23</v>
      </c>
    </row>
    <row r="550" customFormat="false" ht="15" hidden="false" customHeight="false" outlineLevel="0" collapsed="false">
      <c r="A550" s="5" t="n">
        <v>549</v>
      </c>
      <c r="B550" s="5" t="s">
        <v>308</v>
      </c>
      <c r="C550" s="5" t="s">
        <v>112</v>
      </c>
      <c r="D550" s="5" t="s">
        <v>1143</v>
      </c>
      <c r="E550" s="5" t="s">
        <v>1143</v>
      </c>
      <c r="F550" s="5" t="s">
        <v>28</v>
      </c>
      <c r="G550" s="5" t="str">
        <f aca="false">IF(EXACT(D550,E550),"Tetap","Diubah")</f>
        <v>Tetap</v>
      </c>
      <c r="H550" s="5" t="s">
        <v>23</v>
      </c>
    </row>
    <row r="551" customFormat="false" ht="15" hidden="false" customHeight="false" outlineLevel="0" collapsed="false">
      <c r="A551" s="5" t="n">
        <v>550</v>
      </c>
      <c r="B551" s="5" t="s">
        <v>308</v>
      </c>
      <c r="C551" s="5" t="s">
        <v>112</v>
      </c>
      <c r="D551" s="5" t="s">
        <v>1144</v>
      </c>
      <c r="E551" s="5" t="s">
        <v>1145</v>
      </c>
      <c r="F551" s="5" t="s">
        <v>1146</v>
      </c>
      <c r="G551" s="5" t="str">
        <f aca="false">IF(EXACT(D551,E551),"Tetap","Diubah")</f>
        <v>Diubah</v>
      </c>
      <c r="H551" s="5" t="s">
        <v>23</v>
      </c>
    </row>
    <row r="552" customFormat="false" ht="15" hidden="false" customHeight="false" outlineLevel="0" collapsed="false">
      <c r="A552" s="5" t="n">
        <v>551</v>
      </c>
      <c r="B552" s="5" t="s">
        <v>308</v>
      </c>
      <c r="C552" s="5" t="s">
        <v>112</v>
      </c>
      <c r="D552" s="5" t="s">
        <v>1147</v>
      </c>
      <c r="E552" s="5" t="s">
        <v>1148</v>
      </c>
      <c r="F552" s="5" t="s">
        <v>1146</v>
      </c>
      <c r="G552" s="5" t="str">
        <f aca="false">IF(EXACT(D552,E552),"Tetap","Diubah")</f>
        <v>Diubah</v>
      </c>
      <c r="H552" s="5" t="s">
        <v>23</v>
      </c>
    </row>
    <row r="553" customFormat="false" ht="15" hidden="false" customHeight="false" outlineLevel="0" collapsed="false">
      <c r="A553" s="5" t="n">
        <v>552</v>
      </c>
      <c r="B553" s="5" t="s">
        <v>308</v>
      </c>
      <c r="C553" s="5" t="s">
        <v>112</v>
      </c>
      <c r="D553" s="5" t="s">
        <v>1149</v>
      </c>
      <c r="E553" s="5" t="s">
        <v>1150</v>
      </c>
      <c r="F553" s="5" t="s">
        <v>1138</v>
      </c>
      <c r="G553" s="5" t="str">
        <f aca="false">IF(EXACT(D553,E553),"Tetap","Diubah")</f>
        <v>Diubah</v>
      </c>
      <c r="H553" s="5" t="s">
        <v>23</v>
      </c>
    </row>
    <row r="554" customFormat="false" ht="15" hidden="false" customHeight="false" outlineLevel="0" collapsed="false">
      <c r="A554" s="5" t="n">
        <v>553</v>
      </c>
      <c r="B554" s="5" t="s">
        <v>308</v>
      </c>
      <c r="C554" s="5" t="s">
        <v>1151</v>
      </c>
      <c r="D554" s="5" t="s">
        <v>1152</v>
      </c>
      <c r="E554" s="5" t="s">
        <v>1136</v>
      </c>
      <c r="F554" s="5"/>
      <c r="G554" s="5" t="str">
        <f aca="false">IF(EXACT(D554,E554),"Tetap","Diubah")</f>
        <v>Diubah</v>
      </c>
      <c r="H554" s="5" t="s">
        <v>23</v>
      </c>
    </row>
    <row r="555" customFormat="false" ht="15" hidden="false" customHeight="false" outlineLevel="0" collapsed="false">
      <c r="A555" s="5" t="n">
        <v>554</v>
      </c>
      <c r="B555" s="5" t="s">
        <v>308</v>
      </c>
      <c r="C555" s="5" t="s">
        <v>1151</v>
      </c>
      <c r="D555" s="5" t="s">
        <v>1153</v>
      </c>
      <c r="E555" s="5" t="s">
        <v>1154</v>
      </c>
      <c r="F555" s="5"/>
      <c r="G555" s="5" t="str">
        <f aca="false">IF(EXACT(D555,E555),"Tetap","Diubah")</f>
        <v>Diubah</v>
      </c>
      <c r="H555" s="5" t="s">
        <v>23</v>
      </c>
    </row>
    <row r="556" customFormat="false" ht="15" hidden="false" customHeight="false" outlineLevel="0" collapsed="false">
      <c r="A556" s="5" t="n">
        <v>555</v>
      </c>
      <c r="B556" s="5" t="s">
        <v>308</v>
      </c>
      <c r="C556" s="5" t="s">
        <v>17</v>
      </c>
      <c r="D556" s="5" t="s">
        <v>1155</v>
      </c>
      <c r="E556" s="5" t="s">
        <v>1155</v>
      </c>
      <c r="F556" s="5" t="s">
        <v>28</v>
      </c>
      <c r="G556" s="5" t="str">
        <f aca="false">IF(EXACT(D556,E556),"Tetap","Diubah")</f>
        <v>Tetap</v>
      </c>
      <c r="H556" s="5" t="s">
        <v>23</v>
      </c>
    </row>
    <row r="557" customFormat="false" ht="15" hidden="false" customHeight="false" outlineLevel="0" collapsed="false">
      <c r="A557" s="5" t="n">
        <v>556</v>
      </c>
      <c r="B557" s="5" t="s">
        <v>308</v>
      </c>
      <c r="C557" s="5" t="s">
        <v>1151</v>
      </c>
      <c r="D557" s="5" t="s">
        <v>1156</v>
      </c>
      <c r="E557" s="5" t="s">
        <v>1157</v>
      </c>
      <c r="F557" s="5"/>
      <c r="G557" s="5" t="str">
        <f aca="false">IF(EXACT(D557,E557),"Tetap","Diubah")</f>
        <v>Diubah</v>
      </c>
      <c r="H557" s="5" t="s">
        <v>23</v>
      </c>
    </row>
    <row r="558" customFormat="false" ht="15" hidden="false" customHeight="false" outlineLevel="0" collapsed="false">
      <c r="A558" s="5" t="n">
        <v>557</v>
      </c>
      <c r="B558" s="5" t="s">
        <v>308</v>
      </c>
      <c r="C558" s="5" t="s">
        <v>45</v>
      </c>
      <c r="D558" s="5" t="s">
        <v>198</v>
      </c>
      <c r="E558" s="5" t="s">
        <v>198</v>
      </c>
      <c r="F558" s="5" t="s">
        <v>28</v>
      </c>
      <c r="G558" s="5" t="str">
        <f aca="false">IF(EXACT(D558,E558),"Tetap","Diubah")</f>
        <v>Tetap</v>
      </c>
      <c r="H558" s="5" t="s">
        <v>23</v>
      </c>
    </row>
    <row r="559" customFormat="false" ht="15" hidden="false" customHeight="false" outlineLevel="0" collapsed="false">
      <c r="A559" s="5" t="n">
        <v>558</v>
      </c>
      <c r="B559" s="5" t="s">
        <v>308</v>
      </c>
      <c r="C559" s="5" t="s">
        <v>1151</v>
      </c>
      <c r="D559" s="5" t="s">
        <v>1158</v>
      </c>
      <c r="E559" s="5" t="s">
        <v>1159</v>
      </c>
      <c r="F559" s="5"/>
      <c r="G559" s="5" t="str">
        <f aca="false">IF(EXACT(D559,E559),"Tetap","Diubah")</f>
        <v>Diubah</v>
      </c>
      <c r="H559" s="5" t="s">
        <v>23</v>
      </c>
    </row>
    <row r="560" customFormat="false" ht="15" hidden="false" customHeight="false" outlineLevel="0" collapsed="false">
      <c r="A560" s="5" t="n">
        <v>559</v>
      </c>
      <c r="B560" s="5" t="s">
        <v>308</v>
      </c>
      <c r="C560" s="5" t="s">
        <v>283</v>
      </c>
      <c r="D560" s="5" t="s">
        <v>1160</v>
      </c>
      <c r="E560" s="5" t="s">
        <v>1160</v>
      </c>
      <c r="F560" s="5" t="s">
        <v>28</v>
      </c>
      <c r="G560" s="5" t="str">
        <f aca="false">IF(EXACT(D560,E560),"Tetap","Diubah")</f>
        <v>Tetap</v>
      </c>
      <c r="H560" s="5" t="s">
        <v>23</v>
      </c>
    </row>
    <row r="561" customFormat="false" ht="15" hidden="false" customHeight="false" outlineLevel="0" collapsed="false">
      <c r="A561" s="5" t="n">
        <v>560</v>
      </c>
      <c r="B561" s="5" t="s">
        <v>308</v>
      </c>
      <c r="C561" s="5" t="s">
        <v>283</v>
      </c>
      <c r="D561" s="5" t="s">
        <v>1161</v>
      </c>
      <c r="E561" s="5" t="s">
        <v>1162</v>
      </c>
      <c r="F561" s="5"/>
      <c r="G561" s="5" t="str">
        <f aca="false">IF(EXACT(D561,E561),"Tetap","Diubah")</f>
        <v>Diubah</v>
      </c>
      <c r="H561" s="5" t="s">
        <v>23</v>
      </c>
    </row>
    <row r="562" customFormat="false" ht="15" hidden="false" customHeight="false" outlineLevel="0" collapsed="false">
      <c r="A562" s="5" t="n">
        <v>561</v>
      </c>
      <c r="B562" s="5" t="s">
        <v>308</v>
      </c>
      <c r="C562" s="5" t="s">
        <v>1151</v>
      </c>
      <c r="D562" s="5" t="s">
        <v>1163</v>
      </c>
      <c r="E562" s="5" t="s">
        <v>1164</v>
      </c>
      <c r="F562" s="5"/>
      <c r="G562" s="5" t="str">
        <f aca="false">IF(EXACT(D562,E562),"Tetap","Diubah")</f>
        <v>Diubah</v>
      </c>
      <c r="H562" s="5" t="s">
        <v>23</v>
      </c>
    </row>
    <row r="563" customFormat="false" ht="15" hidden="false" customHeight="false" outlineLevel="0" collapsed="false">
      <c r="A563" s="5" t="n">
        <v>562</v>
      </c>
      <c r="B563" s="5" t="s">
        <v>308</v>
      </c>
      <c r="C563" s="5" t="s">
        <v>1151</v>
      </c>
      <c r="D563" s="5" t="s">
        <v>1165</v>
      </c>
      <c r="E563" s="5" t="s">
        <v>1166</v>
      </c>
      <c r="F563" s="5"/>
      <c r="G563" s="5" t="str">
        <f aca="false">IF(EXACT(D563,E563),"Tetap","Diubah")</f>
        <v>Diubah</v>
      </c>
      <c r="H563" s="5" t="s">
        <v>23</v>
      </c>
    </row>
    <row r="564" customFormat="false" ht="15" hidden="false" customHeight="false" outlineLevel="0" collapsed="false">
      <c r="A564" s="5" t="n">
        <v>563</v>
      </c>
      <c r="B564" s="5" t="s">
        <v>308</v>
      </c>
      <c r="C564" s="5" t="s">
        <v>159</v>
      </c>
      <c r="D564" s="5" t="s">
        <v>1167</v>
      </c>
      <c r="E564" s="5" t="s">
        <v>449</v>
      </c>
      <c r="F564" s="5" t="s">
        <v>1168</v>
      </c>
      <c r="G564" s="5" t="str">
        <f aca="false">IF(EXACT(D564,E564),"Tetap","Diubah")</f>
        <v>Diubah</v>
      </c>
      <c r="H564" s="5" t="s">
        <v>23</v>
      </c>
    </row>
    <row r="565" customFormat="false" ht="23.85" hidden="false" customHeight="false" outlineLevel="0" collapsed="false">
      <c r="A565" s="5" t="n">
        <v>564</v>
      </c>
      <c r="B565" s="5" t="s">
        <v>308</v>
      </c>
      <c r="C565" s="5" t="s">
        <v>130</v>
      </c>
      <c r="D565" s="5" t="s">
        <v>1169</v>
      </c>
      <c r="E565" s="5" t="s">
        <v>1170</v>
      </c>
      <c r="F565" s="5"/>
      <c r="G565" s="5" t="str">
        <f aca="false">IF(EXACT(D565,E565),"Tetap","Diubah")</f>
        <v>Diubah</v>
      </c>
      <c r="H565" s="5" t="s">
        <v>23</v>
      </c>
    </row>
    <row r="566" customFormat="false" ht="15" hidden="false" customHeight="false" outlineLevel="0" collapsed="false">
      <c r="A566" s="5" t="n">
        <v>565</v>
      </c>
      <c r="B566" s="5" t="s">
        <v>308</v>
      </c>
      <c r="C566" s="5" t="s">
        <v>115</v>
      </c>
      <c r="D566" s="5" t="s">
        <v>1171</v>
      </c>
      <c r="E566" s="5" t="s">
        <v>1172</v>
      </c>
      <c r="F566" s="5"/>
      <c r="G566" s="5" t="str">
        <f aca="false">IF(EXACT(D566,E566),"Tetap","Diubah")</f>
        <v>Diubah</v>
      </c>
      <c r="H566" s="5" t="s">
        <v>23</v>
      </c>
    </row>
    <row r="567" customFormat="false" ht="15" hidden="false" customHeight="false" outlineLevel="0" collapsed="false">
      <c r="A567" s="5" t="n">
        <v>566</v>
      </c>
      <c r="B567" s="5" t="s">
        <v>308</v>
      </c>
      <c r="C567" s="5" t="s">
        <v>115</v>
      </c>
      <c r="D567" s="5" t="s">
        <v>1173</v>
      </c>
      <c r="E567" s="5" t="s">
        <v>1174</v>
      </c>
      <c r="F567" s="5"/>
      <c r="G567" s="5" t="str">
        <f aca="false">IF(EXACT(D567,E567),"Tetap","Diubah")</f>
        <v>Diubah</v>
      </c>
      <c r="H567" s="5" t="s">
        <v>23</v>
      </c>
    </row>
    <row r="568" customFormat="false" ht="15" hidden="false" customHeight="false" outlineLevel="0" collapsed="false">
      <c r="A568" s="5" t="n">
        <v>567</v>
      </c>
      <c r="B568" s="5" t="s">
        <v>308</v>
      </c>
      <c r="C568" s="5" t="s">
        <v>115</v>
      </c>
      <c r="D568" s="5" t="s">
        <v>1175</v>
      </c>
      <c r="E568" s="5" t="s">
        <v>1175</v>
      </c>
      <c r="F568" s="5" t="s">
        <v>28</v>
      </c>
      <c r="G568" s="5" t="str">
        <f aca="false">IF(EXACT(D568,E568),"Tetap","Diubah")</f>
        <v>Tetap</v>
      </c>
      <c r="H568" s="5" t="s">
        <v>23</v>
      </c>
    </row>
    <row r="569" customFormat="false" ht="15" hidden="false" customHeight="false" outlineLevel="0" collapsed="false">
      <c r="A569" s="5" t="n">
        <v>568</v>
      </c>
      <c r="B569" s="5" t="s">
        <v>308</v>
      </c>
      <c r="C569" s="5" t="s">
        <v>115</v>
      </c>
      <c r="D569" s="5" t="s">
        <v>1176</v>
      </c>
      <c r="E569" s="5" t="s">
        <v>1176</v>
      </c>
      <c r="F569" s="5" t="s">
        <v>28</v>
      </c>
      <c r="G569" s="5" t="str">
        <f aca="false">IF(EXACT(D569,E569),"Tetap","Diubah")</f>
        <v>Tetap</v>
      </c>
      <c r="H569" s="5" t="s">
        <v>23</v>
      </c>
    </row>
    <row r="570" customFormat="false" ht="15" hidden="false" customHeight="false" outlineLevel="0" collapsed="false">
      <c r="A570" s="5" t="n">
        <v>569</v>
      </c>
      <c r="B570" s="5" t="s">
        <v>308</v>
      </c>
      <c r="C570" s="5" t="s">
        <v>115</v>
      </c>
      <c r="D570" s="5" t="s">
        <v>1177</v>
      </c>
      <c r="E570" s="5" t="s">
        <v>1177</v>
      </c>
      <c r="F570" s="5" t="s">
        <v>28</v>
      </c>
      <c r="G570" s="5" t="str">
        <f aca="false">IF(EXACT(D570,E570),"Tetap","Diubah")</f>
        <v>Tetap</v>
      </c>
      <c r="H570" s="5" t="s">
        <v>23</v>
      </c>
    </row>
    <row r="571" customFormat="false" ht="15" hidden="false" customHeight="false" outlineLevel="0" collapsed="false">
      <c r="A571" s="5" t="n">
        <v>570</v>
      </c>
      <c r="B571" s="5" t="s">
        <v>308</v>
      </c>
      <c r="C571" s="5" t="s">
        <v>115</v>
      </c>
      <c r="D571" s="5" t="s">
        <v>1178</v>
      </c>
      <c r="E571" s="5" t="s">
        <v>1178</v>
      </c>
      <c r="F571" s="5" t="s">
        <v>28</v>
      </c>
      <c r="G571" s="5" t="str">
        <f aca="false">IF(EXACT(D571,E571),"Tetap","Diubah")</f>
        <v>Tetap</v>
      </c>
      <c r="H571" s="5" t="s">
        <v>23</v>
      </c>
    </row>
    <row r="572" customFormat="false" ht="23.85" hidden="false" customHeight="false" outlineLevel="0" collapsed="false">
      <c r="A572" s="5" t="n">
        <v>571</v>
      </c>
      <c r="B572" s="5" t="s">
        <v>308</v>
      </c>
      <c r="C572" s="5" t="s">
        <v>71</v>
      </c>
      <c r="D572" s="5" t="s">
        <v>1179</v>
      </c>
      <c r="E572" s="5" t="s">
        <v>1180</v>
      </c>
      <c r="F572" s="5"/>
      <c r="G572" s="5" t="str">
        <f aca="false">IF(EXACT(D572,E572),"Tetap","Diubah")</f>
        <v>Diubah</v>
      </c>
      <c r="H572" s="5" t="s">
        <v>23</v>
      </c>
    </row>
    <row r="573" customFormat="false" ht="23.85" hidden="false" customHeight="false" outlineLevel="0" collapsed="false">
      <c r="A573" s="5" t="n">
        <v>572</v>
      </c>
      <c r="B573" s="5" t="s">
        <v>308</v>
      </c>
      <c r="C573" s="5" t="s">
        <v>130</v>
      </c>
      <c r="D573" s="5" t="s">
        <v>1181</v>
      </c>
      <c r="E573" s="5" t="s">
        <v>1182</v>
      </c>
      <c r="F573" s="5" t="s">
        <v>1183</v>
      </c>
      <c r="G573" s="5" t="str">
        <f aca="false">IF(EXACT(D573,E573),"Tetap","Diubah")</f>
        <v>Diubah</v>
      </c>
      <c r="H573" s="5" t="s">
        <v>23</v>
      </c>
    </row>
    <row r="574" customFormat="false" ht="15" hidden="false" customHeight="false" outlineLevel="0" collapsed="false">
      <c r="A574" s="5" t="n">
        <v>573</v>
      </c>
      <c r="B574" s="5" t="s">
        <v>308</v>
      </c>
      <c r="C574" s="5" t="s">
        <v>20</v>
      </c>
      <c r="D574" s="5" t="s">
        <v>1184</v>
      </c>
      <c r="E574" s="5" t="s">
        <v>1185</v>
      </c>
      <c r="F574" s="5"/>
      <c r="G574" s="5" t="str">
        <f aca="false">IF(EXACT(D574,E574),"Tetap","Diubah")</f>
        <v>Diubah</v>
      </c>
      <c r="H574" s="5" t="s">
        <v>23</v>
      </c>
    </row>
    <row r="575" customFormat="false" ht="15" hidden="false" customHeight="false" outlineLevel="0" collapsed="false">
      <c r="A575" s="5" t="n">
        <v>574</v>
      </c>
      <c r="B575" s="5" t="s">
        <v>308</v>
      </c>
      <c r="C575" s="5" t="s">
        <v>20</v>
      </c>
      <c r="D575" s="5" t="s">
        <v>1186</v>
      </c>
      <c r="E575" s="5" t="s">
        <v>1187</v>
      </c>
      <c r="F575" s="5"/>
      <c r="G575" s="5" t="str">
        <f aca="false">IF(EXACT(D575,E575),"Tetap","Diubah")</f>
        <v>Diubah</v>
      </c>
      <c r="H575" s="5" t="s">
        <v>23</v>
      </c>
    </row>
    <row r="576" customFormat="false" ht="15" hidden="false" customHeight="false" outlineLevel="0" collapsed="false">
      <c r="A576" s="5" t="n">
        <v>575</v>
      </c>
      <c r="B576" s="5" t="s">
        <v>308</v>
      </c>
      <c r="C576" s="5" t="s">
        <v>45</v>
      </c>
      <c r="D576" s="5" t="s">
        <v>1188</v>
      </c>
      <c r="E576" s="5" t="s">
        <v>251</v>
      </c>
      <c r="F576" s="5"/>
      <c r="G576" s="5" t="str">
        <f aca="false">IF(EXACT(D576,E576),"Tetap","Diubah")</f>
        <v>Diubah</v>
      </c>
      <c r="H576" s="5" t="s">
        <v>23</v>
      </c>
    </row>
    <row r="577" customFormat="false" ht="15" hidden="false" customHeight="false" outlineLevel="0" collapsed="false">
      <c r="A577" s="5" t="n">
        <v>576</v>
      </c>
      <c r="B577" s="5" t="s">
        <v>308</v>
      </c>
      <c r="C577" s="5" t="s">
        <v>330</v>
      </c>
      <c r="D577" s="5" t="s">
        <v>1189</v>
      </c>
      <c r="E577" s="5" t="s">
        <v>1190</v>
      </c>
      <c r="F577" s="5"/>
      <c r="G577" s="5" t="str">
        <f aca="false">IF(EXACT(D577,E577),"Tetap","Diubah")</f>
        <v>Diubah</v>
      </c>
      <c r="H577" s="5" t="s">
        <v>23</v>
      </c>
    </row>
    <row r="578" customFormat="false" ht="23.85" hidden="false" customHeight="false" outlineLevel="0" collapsed="false">
      <c r="A578" s="5" t="n">
        <v>577</v>
      </c>
      <c r="B578" s="5" t="s">
        <v>308</v>
      </c>
      <c r="C578" s="5" t="s">
        <v>130</v>
      </c>
      <c r="D578" s="5" t="s">
        <v>1191</v>
      </c>
      <c r="E578" s="5" t="s">
        <v>1192</v>
      </c>
      <c r="F578" s="5"/>
      <c r="G578" s="5" t="str">
        <f aca="false">IF(EXACT(D578,E578),"Tetap","Diubah")</f>
        <v>Diubah</v>
      </c>
      <c r="H578" s="5" t="s">
        <v>23</v>
      </c>
    </row>
    <row r="579" customFormat="false" ht="15" hidden="false" customHeight="false" outlineLevel="0" collapsed="false">
      <c r="A579" s="5" t="n">
        <v>578</v>
      </c>
      <c r="B579" s="5" t="s">
        <v>308</v>
      </c>
      <c r="C579" s="5" t="s">
        <v>283</v>
      </c>
      <c r="D579" s="5" t="s">
        <v>1193</v>
      </c>
      <c r="E579" s="5" t="s">
        <v>1193</v>
      </c>
      <c r="F579" s="5" t="s">
        <v>28</v>
      </c>
      <c r="G579" s="5" t="str">
        <f aca="false">IF(EXACT(D579,E579),"Tetap","Diubah")</f>
        <v>Tetap</v>
      </c>
      <c r="H579" s="5" t="s">
        <v>23</v>
      </c>
    </row>
    <row r="580" customFormat="false" ht="15" hidden="false" customHeight="false" outlineLevel="0" collapsed="false">
      <c r="A580" s="5" t="n">
        <v>579</v>
      </c>
      <c r="B580" s="5" t="s">
        <v>308</v>
      </c>
      <c r="C580" s="5" t="s">
        <v>45</v>
      </c>
      <c r="D580" s="5" t="s">
        <v>1194</v>
      </c>
      <c r="E580" s="5" t="s">
        <v>1195</v>
      </c>
      <c r="F580" s="5"/>
      <c r="G580" s="5" t="str">
        <f aca="false">IF(EXACT(D580,E580),"Tetap","Diubah")</f>
        <v>Diubah</v>
      </c>
      <c r="H580" s="5" t="s">
        <v>23</v>
      </c>
    </row>
    <row r="581" customFormat="false" ht="15" hidden="false" customHeight="false" outlineLevel="0" collapsed="false">
      <c r="A581" s="5" t="n">
        <v>580</v>
      </c>
      <c r="B581" s="5" t="s">
        <v>308</v>
      </c>
      <c r="C581" s="5" t="s">
        <v>221</v>
      </c>
      <c r="D581" s="5" t="s">
        <v>1196</v>
      </c>
      <c r="E581" s="5" t="s">
        <v>1197</v>
      </c>
      <c r="F581" s="5"/>
      <c r="G581" s="5" t="str">
        <f aca="false">IF(EXACT(D581,E581),"Tetap","Diubah")</f>
        <v>Diubah</v>
      </c>
      <c r="H581" s="5" t="s">
        <v>23</v>
      </c>
    </row>
    <row r="582" customFormat="false" ht="35.05" hidden="false" customHeight="false" outlineLevel="0" collapsed="false">
      <c r="A582" s="5" t="n">
        <v>581</v>
      </c>
      <c r="B582" s="5" t="s">
        <v>308</v>
      </c>
      <c r="C582" s="5" t="s">
        <v>130</v>
      </c>
      <c r="D582" s="5" t="s">
        <v>1198</v>
      </c>
      <c r="E582" s="5" t="s">
        <v>1199</v>
      </c>
      <c r="F582" s="5"/>
      <c r="G582" s="5" t="str">
        <f aca="false">IF(EXACT(D582,E582),"Tetap","Diubah")</f>
        <v>Diubah</v>
      </c>
      <c r="H582" s="5" t="s">
        <v>23</v>
      </c>
    </row>
    <row r="583" customFormat="false" ht="15" hidden="false" customHeight="false" outlineLevel="0" collapsed="false">
      <c r="A583" s="5" t="n">
        <v>582</v>
      </c>
      <c r="B583" s="5" t="s">
        <v>308</v>
      </c>
      <c r="C583" s="5" t="s">
        <v>54</v>
      </c>
      <c r="D583" s="5" t="s">
        <v>1200</v>
      </c>
      <c r="E583" s="5" t="s">
        <v>257</v>
      </c>
      <c r="F583" s="5"/>
      <c r="G583" s="5" t="str">
        <f aca="false">IF(EXACT(D583,E583),"Tetap","Diubah")</f>
        <v>Diubah</v>
      </c>
      <c r="H583" s="5" t="s">
        <v>23</v>
      </c>
    </row>
    <row r="584" customFormat="false" ht="15" hidden="false" customHeight="false" outlineLevel="0" collapsed="false">
      <c r="A584" s="5" t="n">
        <v>583</v>
      </c>
      <c r="B584" s="5" t="s">
        <v>308</v>
      </c>
      <c r="C584" s="5" t="s">
        <v>54</v>
      </c>
      <c r="D584" s="5" t="s">
        <v>123</v>
      </c>
      <c r="E584" s="5" t="s">
        <v>123</v>
      </c>
      <c r="F584" s="5" t="s">
        <v>28</v>
      </c>
      <c r="G584" s="5" t="str">
        <f aca="false">IF(EXACT(D584,E584),"Tetap","Diubah")</f>
        <v>Tetap</v>
      </c>
      <c r="H584" s="5" t="s">
        <v>23</v>
      </c>
    </row>
    <row r="585" customFormat="false" ht="15" hidden="false" customHeight="false" outlineLevel="0" collapsed="false">
      <c r="A585" s="5" t="n">
        <v>584</v>
      </c>
      <c r="B585" s="5" t="s">
        <v>308</v>
      </c>
      <c r="C585" s="5" t="s">
        <v>54</v>
      </c>
      <c r="D585" s="5" t="s">
        <v>1201</v>
      </c>
      <c r="E585" s="5" t="s">
        <v>1202</v>
      </c>
      <c r="F585" s="5"/>
      <c r="G585" s="5" t="str">
        <f aca="false">IF(EXACT(D585,E585),"Tetap","Diubah")</f>
        <v>Diubah</v>
      </c>
      <c r="H585" s="5" t="s">
        <v>23</v>
      </c>
    </row>
    <row r="586" customFormat="false" ht="15" hidden="false" customHeight="false" outlineLevel="0" collapsed="false">
      <c r="A586" s="5" t="n">
        <v>585</v>
      </c>
      <c r="B586" s="5" t="s">
        <v>308</v>
      </c>
      <c r="C586" s="5" t="s">
        <v>54</v>
      </c>
      <c r="D586" s="5" t="s">
        <v>1203</v>
      </c>
      <c r="E586" s="5" t="s">
        <v>1204</v>
      </c>
      <c r="F586" s="5"/>
      <c r="G586" s="5" t="str">
        <f aca="false">IF(EXACT(D586,E586),"Tetap","Diubah")</f>
        <v>Diubah</v>
      </c>
      <c r="H586" s="5" t="s">
        <v>23</v>
      </c>
    </row>
    <row r="587" customFormat="false" ht="15" hidden="false" customHeight="false" outlineLevel="0" collapsed="false">
      <c r="A587" s="5" t="n">
        <v>586</v>
      </c>
      <c r="B587" s="5" t="s">
        <v>308</v>
      </c>
      <c r="C587" s="5" t="s">
        <v>54</v>
      </c>
      <c r="D587" s="5" t="s">
        <v>1205</v>
      </c>
      <c r="E587" s="5" t="s">
        <v>1206</v>
      </c>
      <c r="F587" s="5"/>
      <c r="G587" s="5" t="str">
        <f aca="false">IF(EXACT(D587,E587),"Tetap","Diubah")</f>
        <v>Diubah</v>
      </c>
      <c r="H587" s="5" t="s">
        <v>23</v>
      </c>
    </row>
    <row r="588" customFormat="false" ht="15" hidden="false" customHeight="false" outlineLevel="0" collapsed="false">
      <c r="A588" s="5" t="n">
        <v>587</v>
      </c>
      <c r="B588" s="5" t="s">
        <v>308</v>
      </c>
      <c r="C588" s="5" t="s">
        <v>54</v>
      </c>
      <c r="D588" s="5" t="s">
        <v>1207</v>
      </c>
      <c r="E588" s="5" t="s">
        <v>1208</v>
      </c>
      <c r="F588" s="5"/>
      <c r="G588" s="5" t="str">
        <f aca="false">IF(EXACT(D588,E588),"Tetap","Diubah")</f>
        <v>Diubah</v>
      </c>
      <c r="H588" s="5" t="s">
        <v>23</v>
      </c>
    </row>
    <row r="589" customFormat="false" ht="15" hidden="false" customHeight="false" outlineLevel="0" collapsed="false">
      <c r="A589" s="5" t="n">
        <v>588</v>
      </c>
      <c r="B589" s="5" t="s">
        <v>308</v>
      </c>
      <c r="C589" s="5" t="s">
        <v>54</v>
      </c>
      <c r="D589" s="5" t="s">
        <v>1209</v>
      </c>
      <c r="E589" s="5" t="s">
        <v>1210</v>
      </c>
      <c r="F589" s="5"/>
      <c r="G589" s="5" t="str">
        <f aca="false">IF(EXACT(D589,E589),"Tetap","Diubah")</f>
        <v>Diubah</v>
      </c>
      <c r="H589" s="5" t="s">
        <v>23</v>
      </c>
    </row>
    <row r="590" customFormat="false" ht="15" hidden="false" customHeight="false" outlineLevel="0" collapsed="false">
      <c r="A590" s="5" t="n">
        <v>589</v>
      </c>
      <c r="B590" s="5" t="s">
        <v>308</v>
      </c>
      <c r="C590" s="5" t="s">
        <v>54</v>
      </c>
      <c r="D590" s="5" t="s">
        <v>1211</v>
      </c>
      <c r="E590" s="5" t="s">
        <v>1212</v>
      </c>
      <c r="F590" s="5"/>
      <c r="G590" s="5" t="str">
        <f aca="false">IF(EXACT(D590,E590),"Tetap","Diubah")</f>
        <v>Diubah</v>
      </c>
      <c r="H590" s="5" t="s">
        <v>23</v>
      </c>
    </row>
    <row r="591" customFormat="false" ht="15" hidden="false" customHeight="false" outlineLevel="0" collapsed="false">
      <c r="A591" s="5" t="n">
        <v>590</v>
      </c>
      <c r="B591" s="5" t="s">
        <v>308</v>
      </c>
      <c r="C591" s="5" t="s">
        <v>54</v>
      </c>
      <c r="D591" s="5" t="s">
        <v>1213</v>
      </c>
      <c r="E591" s="5" t="s">
        <v>1213</v>
      </c>
      <c r="F591" s="5" t="s">
        <v>28</v>
      </c>
      <c r="G591" s="5" t="str">
        <f aca="false">IF(EXACT(D591,E591),"Tetap","Diubah")</f>
        <v>Tetap</v>
      </c>
      <c r="H591" s="5" t="s">
        <v>23</v>
      </c>
    </row>
    <row r="592" customFormat="false" ht="15" hidden="false" customHeight="false" outlineLevel="0" collapsed="false">
      <c r="A592" s="5" t="n">
        <v>591</v>
      </c>
      <c r="B592" s="5" t="s">
        <v>308</v>
      </c>
      <c r="C592" s="5" t="s">
        <v>54</v>
      </c>
      <c r="D592" s="5" t="s">
        <v>1214</v>
      </c>
      <c r="E592" s="5" t="s">
        <v>1215</v>
      </c>
      <c r="F592" s="5"/>
      <c r="G592" s="5" t="str">
        <f aca="false">IF(EXACT(D592,E592),"Tetap","Diubah")</f>
        <v>Diubah</v>
      </c>
      <c r="H592" s="5" t="s">
        <v>23</v>
      </c>
    </row>
    <row r="593" customFormat="false" ht="15" hidden="false" customHeight="false" outlineLevel="0" collapsed="false">
      <c r="A593" s="5" t="n">
        <v>592</v>
      </c>
      <c r="B593" s="5" t="s">
        <v>308</v>
      </c>
      <c r="C593" s="5" t="s">
        <v>54</v>
      </c>
      <c r="D593" s="5" t="s">
        <v>1216</v>
      </c>
      <c r="E593" s="5" t="s">
        <v>1217</v>
      </c>
      <c r="F593" s="5"/>
      <c r="G593" s="5" t="str">
        <f aca="false">IF(EXACT(D593,E593),"Tetap","Diubah")</f>
        <v>Diubah</v>
      </c>
      <c r="H593" s="5" t="s">
        <v>23</v>
      </c>
    </row>
    <row r="594" customFormat="false" ht="15" hidden="false" customHeight="false" outlineLevel="0" collapsed="false">
      <c r="A594" s="5" t="n">
        <v>593</v>
      </c>
      <c r="B594" s="5" t="s">
        <v>308</v>
      </c>
      <c r="C594" s="5" t="s">
        <v>20</v>
      </c>
      <c r="D594" s="5" t="s">
        <v>1218</v>
      </c>
      <c r="E594" s="5" t="s">
        <v>1219</v>
      </c>
      <c r="F594" s="5"/>
      <c r="G594" s="5" t="str">
        <f aca="false">IF(EXACT(D594,E594),"Tetap","Diubah")</f>
        <v>Diubah</v>
      </c>
      <c r="H594" s="5" t="s">
        <v>23</v>
      </c>
    </row>
    <row r="595" customFormat="false" ht="15" hidden="false" customHeight="false" outlineLevel="0" collapsed="false">
      <c r="A595" s="5" t="n">
        <v>594</v>
      </c>
      <c r="B595" s="5" t="s">
        <v>308</v>
      </c>
      <c r="C595" s="5" t="s">
        <v>20</v>
      </c>
      <c r="D595" s="5" t="s">
        <v>1220</v>
      </c>
      <c r="E595" s="5" t="s">
        <v>1220</v>
      </c>
      <c r="F595" s="5" t="s">
        <v>28</v>
      </c>
      <c r="G595" s="5" t="str">
        <f aca="false">IF(EXACT(D595,E595),"Tetap","Diubah")</f>
        <v>Tetap</v>
      </c>
      <c r="H595" s="5" t="s">
        <v>23</v>
      </c>
    </row>
    <row r="596" customFormat="false" ht="15" hidden="false" customHeight="false" outlineLevel="0" collapsed="false">
      <c r="A596" s="5" t="n">
        <v>595</v>
      </c>
      <c r="B596" s="5" t="s">
        <v>308</v>
      </c>
      <c r="C596" s="5" t="s">
        <v>330</v>
      </c>
      <c r="D596" s="5" t="s">
        <v>1221</v>
      </c>
      <c r="E596" s="5" t="s">
        <v>1222</v>
      </c>
      <c r="F596" s="5"/>
      <c r="G596" s="5" t="str">
        <f aca="false">IF(EXACT(D596,E596),"Tetap","Diubah")</f>
        <v>Diubah</v>
      </c>
      <c r="H596" s="5" t="s">
        <v>23</v>
      </c>
    </row>
    <row r="597" customFormat="false" ht="15" hidden="false" customHeight="false" outlineLevel="0" collapsed="false">
      <c r="A597" s="5" t="n">
        <v>596</v>
      </c>
      <c r="B597" s="5" t="s">
        <v>308</v>
      </c>
      <c r="C597" s="5" t="s">
        <v>130</v>
      </c>
      <c r="D597" s="5" t="s">
        <v>1223</v>
      </c>
      <c r="E597" s="5" t="s">
        <v>1224</v>
      </c>
      <c r="F597" s="5"/>
      <c r="G597" s="5" t="str">
        <f aca="false">IF(EXACT(D597,E597),"Tetap","Diubah")</f>
        <v>Diubah</v>
      </c>
      <c r="H597" s="5" t="s">
        <v>23</v>
      </c>
    </row>
    <row r="598" customFormat="false" ht="23.85" hidden="false" customHeight="false" outlineLevel="0" collapsed="false">
      <c r="A598" s="5" t="n">
        <v>597</v>
      </c>
      <c r="B598" s="5" t="s">
        <v>308</v>
      </c>
      <c r="C598" s="5" t="s">
        <v>71</v>
      </c>
      <c r="D598" s="5" t="s">
        <v>1225</v>
      </c>
      <c r="E598" s="5" t="s">
        <v>1226</v>
      </c>
      <c r="F598" s="5"/>
      <c r="G598" s="5" t="str">
        <f aca="false">IF(EXACT(D598,E598),"Tetap","Diubah")</f>
        <v>Diubah</v>
      </c>
      <c r="H598" s="5" t="s">
        <v>23</v>
      </c>
    </row>
    <row r="599" customFormat="false" ht="15" hidden="false" customHeight="false" outlineLevel="0" collapsed="false">
      <c r="A599" s="5" t="n">
        <v>598</v>
      </c>
      <c r="B599" s="5" t="s">
        <v>308</v>
      </c>
      <c r="C599" s="5" t="s">
        <v>330</v>
      </c>
      <c r="D599" s="5" t="s">
        <v>1227</v>
      </c>
      <c r="E599" s="5" t="s">
        <v>1228</v>
      </c>
      <c r="F599" s="5"/>
      <c r="G599" s="5" t="str">
        <f aca="false">IF(EXACT(D599,E599),"Tetap","Diubah")</f>
        <v>Diubah</v>
      </c>
      <c r="H599" s="5" t="s">
        <v>23</v>
      </c>
    </row>
    <row r="600" customFormat="false" ht="15" hidden="false" customHeight="false" outlineLevel="0" collapsed="false">
      <c r="A600" s="5" t="n">
        <v>599</v>
      </c>
      <c r="B600" s="5" t="s">
        <v>308</v>
      </c>
      <c r="C600" s="5" t="s">
        <v>20</v>
      </c>
      <c r="D600" s="5" t="s">
        <v>1229</v>
      </c>
      <c r="E600" s="5" t="s">
        <v>1230</v>
      </c>
      <c r="F600" s="5" t="s">
        <v>1231</v>
      </c>
      <c r="G600" s="5" t="str">
        <f aca="false">IF(EXACT(D600,E600),"Tetap","Diubah")</f>
        <v>Diubah</v>
      </c>
      <c r="H600" s="5" t="s">
        <v>23</v>
      </c>
    </row>
    <row r="601" customFormat="false" ht="15" hidden="false" customHeight="false" outlineLevel="0" collapsed="false">
      <c r="A601" s="5" t="n">
        <v>600</v>
      </c>
      <c r="B601" s="5" t="s">
        <v>308</v>
      </c>
      <c r="C601" s="5" t="s">
        <v>20</v>
      </c>
      <c r="D601" s="5" t="s">
        <v>1232</v>
      </c>
      <c r="E601" s="5" t="s">
        <v>1233</v>
      </c>
      <c r="F601" s="5"/>
      <c r="G601" s="5" t="str">
        <f aca="false">IF(EXACT(D601,E601),"Tetap","Diubah")</f>
        <v>Diubah</v>
      </c>
      <c r="H601" s="5" t="s">
        <v>23</v>
      </c>
    </row>
    <row r="602" customFormat="false" ht="15" hidden="false" customHeight="false" outlineLevel="0" collapsed="false">
      <c r="A602" s="5" t="n">
        <v>601</v>
      </c>
      <c r="B602" s="5" t="s">
        <v>308</v>
      </c>
      <c r="C602" s="5" t="s">
        <v>90</v>
      </c>
      <c r="D602" s="5" t="s">
        <v>1234</v>
      </c>
      <c r="E602" s="5" t="s">
        <v>1235</v>
      </c>
      <c r="F602" s="5"/>
      <c r="G602" s="5" t="str">
        <f aca="false">IF(EXACT(D602,E602),"Tetap","Diubah")</f>
        <v>Diubah</v>
      </c>
      <c r="H602" s="5" t="s">
        <v>23</v>
      </c>
    </row>
    <row r="603" customFormat="false" ht="15" hidden="false" customHeight="false" outlineLevel="0" collapsed="false">
      <c r="A603" s="5" t="n">
        <v>602</v>
      </c>
      <c r="B603" s="5" t="s">
        <v>308</v>
      </c>
      <c r="C603" s="5" t="s">
        <v>90</v>
      </c>
      <c r="D603" s="5" t="s">
        <v>1236</v>
      </c>
      <c r="E603" s="5" t="s">
        <v>1237</v>
      </c>
      <c r="F603" s="5"/>
      <c r="G603" s="5" t="str">
        <f aca="false">IF(EXACT(D603,E603),"Tetap","Diubah")</f>
        <v>Diubah</v>
      </c>
      <c r="H603" s="5" t="s">
        <v>23</v>
      </c>
    </row>
    <row r="604" customFormat="false" ht="15" hidden="false" customHeight="false" outlineLevel="0" collapsed="false">
      <c r="A604" s="5" t="n">
        <v>603</v>
      </c>
      <c r="B604" s="5" t="s">
        <v>308</v>
      </c>
      <c r="C604" s="5" t="s">
        <v>54</v>
      </c>
      <c r="D604" s="5" t="s">
        <v>1238</v>
      </c>
      <c r="E604" s="5" t="s">
        <v>1239</v>
      </c>
      <c r="F604" s="5"/>
      <c r="G604" s="5" t="str">
        <f aca="false">IF(EXACT(D604,E604),"Tetap","Diubah")</f>
        <v>Diubah</v>
      </c>
      <c r="H604" s="5" t="s">
        <v>23</v>
      </c>
    </row>
    <row r="605" customFormat="false" ht="15" hidden="false" customHeight="false" outlineLevel="0" collapsed="false">
      <c r="A605" s="5" t="n">
        <v>604</v>
      </c>
      <c r="B605" s="5" t="s">
        <v>308</v>
      </c>
      <c r="C605" s="5" t="s">
        <v>90</v>
      </c>
      <c r="D605" s="5" t="s">
        <v>1240</v>
      </c>
      <c r="E605" s="5" t="s">
        <v>1241</v>
      </c>
      <c r="F605" s="5"/>
      <c r="G605" s="5" t="str">
        <f aca="false">IF(EXACT(D605,E605),"Tetap","Diubah")</f>
        <v>Diubah</v>
      </c>
      <c r="H605" s="5" t="s">
        <v>23</v>
      </c>
    </row>
    <row r="606" customFormat="false" ht="23.85" hidden="false" customHeight="false" outlineLevel="0" collapsed="false">
      <c r="A606" s="5" t="n">
        <v>605</v>
      </c>
      <c r="B606" s="5" t="s">
        <v>308</v>
      </c>
      <c r="C606" s="5" t="s">
        <v>130</v>
      </c>
      <c r="D606" s="5" t="s">
        <v>1242</v>
      </c>
      <c r="E606" s="5" t="s">
        <v>1243</v>
      </c>
      <c r="F606" s="5"/>
      <c r="G606" s="5" t="str">
        <f aca="false">IF(EXACT(D606,E606),"Tetap","Diubah")</f>
        <v>Diubah</v>
      </c>
      <c r="H606" s="5" t="s">
        <v>23</v>
      </c>
    </row>
    <row r="607" customFormat="false" ht="15" hidden="false" customHeight="false" outlineLevel="0" collapsed="false">
      <c r="A607" s="5" t="n">
        <v>606</v>
      </c>
      <c r="B607" s="5" t="s">
        <v>308</v>
      </c>
      <c r="C607" s="5" t="s">
        <v>54</v>
      </c>
      <c r="D607" s="5" t="s">
        <v>1244</v>
      </c>
      <c r="E607" s="5" t="s">
        <v>1172</v>
      </c>
      <c r="F607" s="5"/>
      <c r="G607" s="5" t="str">
        <f aca="false">IF(EXACT(D607,E607),"Tetap","Diubah")</f>
        <v>Diubah</v>
      </c>
      <c r="H607" s="5" t="s">
        <v>23</v>
      </c>
    </row>
    <row r="608" customFormat="false" ht="15" hidden="false" customHeight="false" outlineLevel="0" collapsed="false">
      <c r="A608" s="5" t="n">
        <v>607</v>
      </c>
      <c r="B608" s="5" t="s">
        <v>308</v>
      </c>
      <c r="C608" s="5" t="s">
        <v>54</v>
      </c>
      <c r="D608" s="5" t="s">
        <v>1245</v>
      </c>
      <c r="E608" s="5" t="s">
        <v>1239</v>
      </c>
      <c r="F608" s="5"/>
      <c r="G608" s="5" t="str">
        <f aca="false">IF(EXACT(D608,E608),"Tetap","Diubah")</f>
        <v>Diubah</v>
      </c>
      <c r="H608" s="5" t="s">
        <v>23</v>
      </c>
    </row>
    <row r="609" customFormat="false" ht="15" hidden="false" customHeight="false" outlineLevel="0" collapsed="false">
      <c r="A609" s="5" t="n">
        <v>608</v>
      </c>
      <c r="B609" s="5" t="s">
        <v>308</v>
      </c>
      <c r="C609" s="5" t="s">
        <v>20</v>
      </c>
      <c r="D609" s="5" t="s">
        <v>1246</v>
      </c>
      <c r="E609" s="5" t="s">
        <v>1247</v>
      </c>
      <c r="F609" s="5"/>
      <c r="G609" s="5" t="str">
        <f aca="false">IF(EXACT(D609,E609),"Tetap","Diubah")</f>
        <v>Diubah</v>
      </c>
      <c r="H609" s="5" t="s">
        <v>23</v>
      </c>
    </row>
    <row r="610" customFormat="false" ht="15" hidden="false" customHeight="false" outlineLevel="0" collapsed="false">
      <c r="A610" s="5" t="n">
        <v>609</v>
      </c>
      <c r="B610" s="5" t="s">
        <v>308</v>
      </c>
      <c r="C610" s="5" t="s">
        <v>45</v>
      </c>
      <c r="D610" s="5" t="s">
        <v>1248</v>
      </c>
      <c r="E610" s="5" t="s">
        <v>1249</v>
      </c>
      <c r="F610" s="5"/>
      <c r="G610" s="5" t="str">
        <f aca="false">IF(EXACT(D610,E610),"Tetap","Diubah")</f>
        <v>Diubah</v>
      </c>
      <c r="H610" s="5" t="s">
        <v>23</v>
      </c>
    </row>
    <row r="611" customFormat="false" ht="15" hidden="false" customHeight="false" outlineLevel="0" collapsed="false">
      <c r="A611" s="5" t="n">
        <v>610</v>
      </c>
      <c r="B611" s="5" t="s">
        <v>308</v>
      </c>
      <c r="C611" s="5" t="s">
        <v>60</v>
      </c>
      <c r="D611" s="5" t="s">
        <v>1250</v>
      </c>
      <c r="E611" s="5" t="s">
        <v>1172</v>
      </c>
      <c r="F611" s="5"/>
      <c r="G611" s="5" t="str">
        <f aca="false">IF(EXACT(D611,E611),"Tetap","Diubah")</f>
        <v>Diubah</v>
      </c>
      <c r="H611" s="5" t="s">
        <v>23</v>
      </c>
    </row>
    <row r="612" customFormat="false" ht="15" hidden="false" customHeight="false" outlineLevel="0" collapsed="false">
      <c r="A612" s="5" t="n">
        <v>611</v>
      </c>
      <c r="B612" s="5" t="s">
        <v>308</v>
      </c>
      <c r="C612" s="5" t="s">
        <v>60</v>
      </c>
      <c r="D612" s="5" t="s">
        <v>1251</v>
      </c>
      <c r="E612" s="5" t="s">
        <v>1252</v>
      </c>
      <c r="F612" s="5"/>
      <c r="G612" s="5" t="str">
        <f aca="false">IF(EXACT(D612,E612),"Tetap","Diubah")</f>
        <v>Diubah</v>
      </c>
      <c r="H612" s="5" t="s">
        <v>23</v>
      </c>
    </row>
    <row r="613" customFormat="false" ht="15" hidden="false" customHeight="false" outlineLevel="0" collapsed="false">
      <c r="A613" s="5" t="n">
        <v>612</v>
      </c>
      <c r="B613" s="5" t="s">
        <v>308</v>
      </c>
      <c r="C613" s="5" t="s">
        <v>60</v>
      </c>
      <c r="D613" s="5" t="s">
        <v>1253</v>
      </c>
      <c r="E613" s="5" t="s">
        <v>1254</v>
      </c>
      <c r="F613" s="5"/>
      <c r="G613" s="5" t="str">
        <f aca="false">IF(EXACT(D613,E613),"Tetap","Diubah")</f>
        <v>Diubah</v>
      </c>
      <c r="H613" s="5" t="s">
        <v>23</v>
      </c>
    </row>
    <row r="614" customFormat="false" ht="15" hidden="false" customHeight="false" outlineLevel="0" collapsed="false">
      <c r="A614" s="5" t="n">
        <v>613</v>
      </c>
      <c r="B614" s="5" t="s">
        <v>308</v>
      </c>
      <c r="C614" s="5" t="s">
        <v>60</v>
      </c>
      <c r="D614" s="5" t="s">
        <v>1255</v>
      </c>
      <c r="E614" s="5" t="s">
        <v>1256</v>
      </c>
      <c r="F614" s="5"/>
      <c r="G614" s="5" t="str">
        <f aca="false">IF(EXACT(D614,E614),"Tetap","Diubah")</f>
        <v>Diubah</v>
      </c>
      <c r="H614" s="5" t="s">
        <v>23</v>
      </c>
    </row>
    <row r="615" customFormat="false" ht="15" hidden="false" customHeight="false" outlineLevel="0" collapsed="false">
      <c r="A615" s="5" t="n">
        <v>614</v>
      </c>
      <c r="B615" s="5" t="s">
        <v>308</v>
      </c>
      <c r="C615" s="5" t="s">
        <v>60</v>
      </c>
      <c r="D615" s="5" t="s">
        <v>755</v>
      </c>
      <c r="E615" s="5" t="s">
        <v>756</v>
      </c>
      <c r="F615" s="5"/>
      <c r="G615" s="5" t="str">
        <f aca="false">IF(EXACT(D615,E615),"Tetap","Diubah")</f>
        <v>Diubah</v>
      </c>
      <c r="H615" s="5" t="s">
        <v>23</v>
      </c>
    </row>
    <row r="616" customFormat="false" ht="15" hidden="false" customHeight="false" outlineLevel="0" collapsed="false">
      <c r="A616" s="5" t="n">
        <v>615</v>
      </c>
      <c r="B616" s="5" t="s">
        <v>308</v>
      </c>
      <c r="C616" s="5" t="s">
        <v>60</v>
      </c>
      <c r="D616" s="5" t="s">
        <v>775</v>
      </c>
      <c r="E616" s="5" t="s">
        <v>776</v>
      </c>
      <c r="F616" s="5"/>
      <c r="G616" s="5" t="str">
        <f aca="false">IF(EXACT(D616,E616),"Tetap","Diubah")</f>
        <v>Diubah</v>
      </c>
      <c r="H616" s="5" t="s">
        <v>23</v>
      </c>
    </row>
    <row r="617" customFormat="false" ht="15" hidden="false" customHeight="false" outlineLevel="0" collapsed="false">
      <c r="A617" s="5" t="n">
        <v>616</v>
      </c>
      <c r="B617" s="5" t="s">
        <v>308</v>
      </c>
      <c r="C617" s="5" t="s">
        <v>45</v>
      </c>
      <c r="D617" s="5" t="s">
        <v>1257</v>
      </c>
      <c r="E617" s="5" t="s">
        <v>1258</v>
      </c>
      <c r="F617" s="5"/>
      <c r="G617" s="5" t="str">
        <f aca="false">IF(EXACT(D617,E617),"Tetap","Diubah")</f>
        <v>Diubah</v>
      </c>
      <c r="H617" s="5" t="s">
        <v>23</v>
      </c>
    </row>
    <row r="618" customFormat="false" ht="15" hidden="false" customHeight="false" outlineLevel="0" collapsed="false">
      <c r="A618" s="5" t="n">
        <v>617</v>
      </c>
      <c r="B618" s="5" t="s">
        <v>308</v>
      </c>
      <c r="C618" s="5" t="s">
        <v>20</v>
      </c>
      <c r="D618" s="5" t="s">
        <v>1259</v>
      </c>
      <c r="E618" s="5" t="s">
        <v>1260</v>
      </c>
      <c r="F618" s="5"/>
      <c r="G618" s="5" t="str">
        <f aca="false">IF(EXACT(D618,E618),"Tetap","Diubah")</f>
        <v>Diubah</v>
      </c>
      <c r="H618" s="5" t="s">
        <v>23</v>
      </c>
    </row>
    <row r="619" customFormat="false" ht="15" hidden="false" customHeight="false" outlineLevel="0" collapsed="false">
      <c r="A619" s="5" t="n">
        <v>618</v>
      </c>
      <c r="B619" s="5" t="s">
        <v>308</v>
      </c>
      <c r="C619" s="5" t="s">
        <v>330</v>
      </c>
      <c r="D619" s="5" t="s">
        <v>1261</v>
      </c>
      <c r="E619" s="5" t="s">
        <v>1175</v>
      </c>
      <c r="F619" s="5"/>
      <c r="G619" s="5" t="str">
        <f aca="false">IF(EXACT(D619,E619),"Tetap","Diubah")</f>
        <v>Diubah</v>
      </c>
      <c r="H619" s="5" t="s">
        <v>23</v>
      </c>
    </row>
    <row r="620" customFormat="false" ht="15" hidden="false" customHeight="false" outlineLevel="0" collapsed="false">
      <c r="A620" s="5" t="n">
        <v>619</v>
      </c>
      <c r="B620" s="5" t="s">
        <v>308</v>
      </c>
      <c r="C620" s="5" t="s">
        <v>330</v>
      </c>
      <c r="D620" s="5" t="s">
        <v>1262</v>
      </c>
      <c r="E620" s="5" t="s">
        <v>1176</v>
      </c>
      <c r="F620" s="5"/>
      <c r="G620" s="5" t="str">
        <f aca="false">IF(EXACT(D620,E620),"Tetap","Diubah")</f>
        <v>Diubah</v>
      </c>
      <c r="H620" s="5" t="s">
        <v>23</v>
      </c>
    </row>
    <row r="621" customFormat="false" ht="15" hidden="false" customHeight="false" outlineLevel="0" collapsed="false">
      <c r="A621" s="5" t="n">
        <v>620</v>
      </c>
      <c r="B621" s="5" t="s">
        <v>308</v>
      </c>
      <c r="C621" s="5" t="s">
        <v>330</v>
      </c>
      <c r="D621" s="5" t="s">
        <v>1263</v>
      </c>
      <c r="E621" s="5" t="s">
        <v>1177</v>
      </c>
      <c r="F621" s="5"/>
      <c r="G621" s="5" t="str">
        <f aca="false">IF(EXACT(D621,E621),"Tetap","Diubah")</f>
        <v>Diubah</v>
      </c>
      <c r="H621" s="5" t="s">
        <v>23</v>
      </c>
    </row>
    <row r="622" customFormat="false" ht="15" hidden="false" customHeight="false" outlineLevel="0" collapsed="false">
      <c r="A622" s="5" t="n">
        <v>621</v>
      </c>
      <c r="B622" s="5" t="s">
        <v>308</v>
      </c>
      <c r="C622" s="5" t="s">
        <v>330</v>
      </c>
      <c r="D622" s="5" t="s">
        <v>1264</v>
      </c>
      <c r="E622" s="5" t="s">
        <v>1178</v>
      </c>
      <c r="F622" s="5"/>
      <c r="G622" s="5" t="str">
        <f aca="false">IF(EXACT(D622,E622),"Tetap","Diubah")</f>
        <v>Diubah</v>
      </c>
      <c r="H622" s="5" t="s">
        <v>23</v>
      </c>
    </row>
    <row r="623" customFormat="false" ht="15" hidden="false" customHeight="false" outlineLevel="0" collapsed="false">
      <c r="A623" s="5" t="n">
        <v>622</v>
      </c>
      <c r="B623" s="5" t="s">
        <v>308</v>
      </c>
      <c r="C623" s="5" t="s">
        <v>130</v>
      </c>
      <c r="D623" s="5" t="s">
        <v>1265</v>
      </c>
      <c r="E623" s="5" t="s">
        <v>1266</v>
      </c>
      <c r="F623" s="5"/>
      <c r="G623" s="5" t="str">
        <f aca="false">IF(EXACT(D623,E623),"Tetap","Diubah")</f>
        <v>Diubah</v>
      </c>
      <c r="H623" s="5" t="s">
        <v>23</v>
      </c>
    </row>
    <row r="624" customFormat="false" ht="15" hidden="false" customHeight="false" outlineLevel="0" collapsed="false">
      <c r="A624" s="5" t="n">
        <v>623</v>
      </c>
      <c r="B624" s="5" t="s">
        <v>308</v>
      </c>
      <c r="C624" s="5" t="s">
        <v>130</v>
      </c>
      <c r="D624" s="5" t="s">
        <v>1267</v>
      </c>
      <c r="E624" s="5" t="s">
        <v>1268</v>
      </c>
      <c r="F624" s="5"/>
      <c r="G624" s="5" t="str">
        <f aca="false">IF(EXACT(D624,E624),"Tetap","Diubah")</f>
        <v>Diubah</v>
      </c>
      <c r="H624" s="5" t="s">
        <v>23</v>
      </c>
    </row>
    <row r="625" customFormat="false" ht="15" hidden="false" customHeight="false" outlineLevel="0" collapsed="false">
      <c r="A625" s="5" t="n">
        <v>624</v>
      </c>
      <c r="B625" s="5" t="s">
        <v>308</v>
      </c>
      <c r="C625" s="5" t="s">
        <v>20</v>
      </c>
      <c r="D625" s="5" t="s">
        <v>1269</v>
      </c>
      <c r="E625" s="5" t="s">
        <v>1270</v>
      </c>
      <c r="F625" s="5"/>
      <c r="G625" s="5" t="str">
        <f aca="false">IF(EXACT(D625,E625),"Tetap","Diubah")</f>
        <v>Diubah</v>
      </c>
      <c r="H625" s="5" t="s">
        <v>23</v>
      </c>
    </row>
    <row r="626" customFormat="false" ht="15" hidden="false" customHeight="false" outlineLevel="0" collapsed="false">
      <c r="A626" s="5" t="n">
        <v>625</v>
      </c>
      <c r="B626" s="5" t="s">
        <v>308</v>
      </c>
      <c r="C626" s="5" t="s">
        <v>60</v>
      </c>
      <c r="D626" s="5" t="s">
        <v>1271</v>
      </c>
      <c r="E626" s="5" t="s">
        <v>1271</v>
      </c>
      <c r="F626" s="5" t="s">
        <v>28</v>
      </c>
      <c r="G626" s="5" t="str">
        <f aca="false">IF(EXACT(D626,E626),"Tetap","Diubah")</f>
        <v>Tetap</v>
      </c>
      <c r="H626" s="5" t="s">
        <v>23</v>
      </c>
    </row>
    <row r="627" customFormat="false" ht="15" hidden="false" customHeight="false" outlineLevel="0" collapsed="false">
      <c r="A627" s="5" t="n">
        <v>626</v>
      </c>
      <c r="B627" s="5" t="s">
        <v>308</v>
      </c>
      <c r="C627" s="5" t="s">
        <v>60</v>
      </c>
      <c r="D627" s="5" t="s">
        <v>1272</v>
      </c>
      <c r="E627" s="5" t="s">
        <v>1272</v>
      </c>
      <c r="F627" s="5" t="s">
        <v>28</v>
      </c>
      <c r="G627" s="5" t="str">
        <f aca="false">IF(EXACT(D627,E627),"Tetap","Diubah")</f>
        <v>Tetap</v>
      </c>
      <c r="H627" s="5" t="s">
        <v>23</v>
      </c>
    </row>
    <row r="628" customFormat="false" ht="15" hidden="false" customHeight="false" outlineLevel="0" collapsed="false">
      <c r="A628" s="5" t="n">
        <v>627</v>
      </c>
      <c r="B628" s="5" t="s">
        <v>308</v>
      </c>
      <c r="C628" s="5" t="s">
        <v>60</v>
      </c>
      <c r="D628" s="5" t="s">
        <v>1273</v>
      </c>
      <c r="E628" s="5" t="s">
        <v>1273</v>
      </c>
      <c r="F628" s="5" t="s">
        <v>28</v>
      </c>
      <c r="G628" s="5" t="str">
        <f aca="false">IF(EXACT(D628,E628),"Tetap","Diubah")</f>
        <v>Tetap</v>
      </c>
      <c r="H628" s="5" t="s">
        <v>23</v>
      </c>
    </row>
    <row r="629" customFormat="false" ht="15" hidden="false" customHeight="false" outlineLevel="0" collapsed="false">
      <c r="A629" s="5" t="n">
        <v>628</v>
      </c>
      <c r="B629" s="5" t="s">
        <v>308</v>
      </c>
      <c r="C629" s="5" t="s">
        <v>60</v>
      </c>
      <c r="D629" s="5" t="s">
        <v>1274</v>
      </c>
      <c r="E629" s="5" t="s">
        <v>1274</v>
      </c>
      <c r="F629" s="5" t="s">
        <v>28</v>
      </c>
      <c r="G629" s="5" t="str">
        <f aca="false">IF(EXACT(D629,E629),"Tetap","Diubah")</f>
        <v>Tetap</v>
      </c>
      <c r="H629" s="5" t="s">
        <v>23</v>
      </c>
    </row>
    <row r="630" customFormat="false" ht="15" hidden="false" customHeight="false" outlineLevel="0" collapsed="false">
      <c r="A630" s="5" t="n">
        <v>629</v>
      </c>
      <c r="B630" s="5" t="s">
        <v>308</v>
      </c>
      <c r="C630" s="5" t="s">
        <v>60</v>
      </c>
      <c r="D630" s="5" t="s">
        <v>1275</v>
      </c>
      <c r="E630" s="5" t="s">
        <v>1275</v>
      </c>
      <c r="F630" s="5" t="s">
        <v>28</v>
      </c>
      <c r="G630" s="5" t="str">
        <f aca="false">IF(EXACT(D630,E630),"Tetap","Diubah")</f>
        <v>Tetap</v>
      </c>
      <c r="H630" s="5" t="s">
        <v>23</v>
      </c>
    </row>
    <row r="631" customFormat="false" ht="15" hidden="false" customHeight="false" outlineLevel="0" collapsed="false">
      <c r="A631" s="5" t="n">
        <v>630</v>
      </c>
      <c r="B631" s="5" t="s">
        <v>308</v>
      </c>
      <c r="C631" s="5" t="s">
        <v>60</v>
      </c>
      <c r="D631" s="5" t="s">
        <v>1276</v>
      </c>
      <c r="E631" s="5" t="s">
        <v>1276</v>
      </c>
      <c r="F631" s="5" t="s">
        <v>28</v>
      </c>
      <c r="G631" s="5" t="str">
        <f aca="false">IF(EXACT(D631,E631),"Tetap","Diubah")</f>
        <v>Tetap</v>
      </c>
      <c r="H631" s="5" t="s">
        <v>23</v>
      </c>
    </row>
    <row r="632" customFormat="false" ht="15" hidden="false" customHeight="false" outlineLevel="0" collapsed="false">
      <c r="A632" s="5" t="n">
        <v>631</v>
      </c>
      <c r="B632" s="5" t="s">
        <v>308</v>
      </c>
      <c r="C632" s="5" t="s">
        <v>60</v>
      </c>
      <c r="D632" s="5" t="s">
        <v>1277</v>
      </c>
      <c r="E632" s="5" t="s">
        <v>1277</v>
      </c>
      <c r="F632" s="5" t="s">
        <v>28</v>
      </c>
      <c r="G632" s="5" t="str">
        <f aca="false">IF(EXACT(D632,E632),"Tetap","Diubah")</f>
        <v>Tetap</v>
      </c>
      <c r="H632" s="5" t="s">
        <v>23</v>
      </c>
    </row>
    <row r="633" customFormat="false" ht="15" hidden="false" customHeight="false" outlineLevel="0" collapsed="false">
      <c r="A633" s="5" t="n">
        <v>632</v>
      </c>
      <c r="B633" s="5" t="s">
        <v>308</v>
      </c>
      <c r="C633" s="5" t="s">
        <v>60</v>
      </c>
      <c r="D633" s="5" t="s">
        <v>1278</v>
      </c>
      <c r="E633" s="5" t="s">
        <v>1278</v>
      </c>
      <c r="F633" s="5" t="s">
        <v>28</v>
      </c>
      <c r="G633" s="5" t="str">
        <f aca="false">IF(EXACT(D633,E633),"Tetap","Diubah")</f>
        <v>Tetap</v>
      </c>
      <c r="H633" s="5" t="s">
        <v>23</v>
      </c>
    </row>
    <row r="634" customFormat="false" ht="15" hidden="false" customHeight="false" outlineLevel="0" collapsed="false">
      <c r="A634" s="5" t="n">
        <v>633</v>
      </c>
      <c r="B634" s="5" t="s">
        <v>308</v>
      </c>
      <c r="C634" s="5" t="s">
        <v>60</v>
      </c>
      <c r="D634" s="5" t="s">
        <v>16</v>
      </c>
      <c r="E634" s="5" t="s">
        <v>16</v>
      </c>
      <c r="F634" s="5" t="s">
        <v>28</v>
      </c>
      <c r="G634" s="5" t="str">
        <f aca="false">IF(EXACT(D634,E634),"Tetap","Diubah")</f>
        <v>Tetap</v>
      </c>
      <c r="H634" s="5" t="s">
        <v>23</v>
      </c>
    </row>
    <row r="635" customFormat="false" ht="15" hidden="false" customHeight="false" outlineLevel="0" collapsed="false">
      <c r="A635" s="5" t="n">
        <v>634</v>
      </c>
      <c r="B635" s="5" t="s">
        <v>308</v>
      </c>
      <c r="C635" s="5" t="s">
        <v>60</v>
      </c>
      <c r="D635" s="5" t="s">
        <v>1279</v>
      </c>
      <c r="E635" s="5" t="s">
        <v>1280</v>
      </c>
      <c r="F635" s="5" t="s">
        <v>1281</v>
      </c>
      <c r="G635" s="5" t="str">
        <f aca="false">IF(EXACT(D635,E635),"Tetap","Diubah")</f>
        <v>Diubah</v>
      </c>
      <c r="H635" s="5" t="s">
        <v>23</v>
      </c>
    </row>
    <row r="636" customFormat="false" ht="15" hidden="false" customHeight="false" outlineLevel="0" collapsed="false">
      <c r="A636" s="5" t="n">
        <v>635</v>
      </c>
      <c r="B636" s="5" t="s">
        <v>308</v>
      </c>
      <c r="C636" s="5" t="s">
        <v>159</v>
      </c>
      <c r="D636" s="5" t="s">
        <v>1282</v>
      </c>
      <c r="E636" s="5" t="s">
        <v>1136</v>
      </c>
      <c r="F636" s="5"/>
      <c r="G636" s="5" t="str">
        <f aca="false">IF(EXACT(D636,E636),"Tetap","Diubah")</f>
        <v>Diubah</v>
      </c>
      <c r="H636" s="5" t="s">
        <v>23</v>
      </c>
    </row>
    <row r="637" customFormat="false" ht="15" hidden="false" customHeight="false" outlineLevel="0" collapsed="false">
      <c r="A637" s="5" t="n">
        <v>636</v>
      </c>
      <c r="B637" s="5" t="s">
        <v>308</v>
      </c>
      <c r="C637" s="5" t="s">
        <v>20</v>
      </c>
      <c r="D637" s="5" t="s">
        <v>1283</v>
      </c>
      <c r="E637" s="5" t="s">
        <v>1284</v>
      </c>
      <c r="F637" s="5"/>
      <c r="G637" s="5" t="str">
        <f aca="false">IF(EXACT(D637,E637),"Tetap","Diubah")</f>
        <v>Diubah</v>
      </c>
      <c r="H637" s="5" t="s">
        <v>23</v>
      </c>
    </row>
    <row r="638" customFormat="false" ht="15" hidden="false" customHeight="false" outlineLevel="0" collapsed="false">
      <c r="A638" s="5" t="n">
        <v>637</v>
      </c>
      <c r="B638" s="5" t="s">
        <v>308</v>
      </c>
      <c r="C638" s="5" t="s">
        <v>20</v>
      </c>
      <c r="D638" s="5" t="s">
        <v>1285</v>
      </c>
      <c r="E638" s="5" t="s">
        <v>1286</v>
      </c>
      <c r="F638" s="5"/>
      <c r="G638" s="5" t="str">
        <f aca="false">IF(EXACT(D638,E638),"Tetap","Diubah")</f>
        <v>Diubah</v>
      </c>
      <c r="H638" s="5" t="s">
        <v>23</v>
      </c>
    </row>
    <row r="639" customFormat="false" ht="15" hidden="false" customHeight="false" outlineLevel="0" collapsed="false">
      <c r="A639" s="5" t="n">
        <v>638</v>
      </c>
      <c r="B639" s="5" t="s">
        <v>308</v>
      </c>
      <c r="C639" s="5" t="s">
        <v>330</v>
      </c>
      <c r="D639" s="5" t="s">
        <v>1287</v>
      </c>
      <c r="E639" s="5" t="s">
        <v>1288</v>
      </c>
      <c r="F639" s="5"/>
      <c r="G639" s="5" t="str">
        <f aca="false">IF(EXACT(D639,E639),"Tetap","Diubah")</f>
        <v>Diubah</v>
      </c>
      <c r="H639" s="5" t="s">
        <v>23</v>
      </c>
    </row>
    <row r="640" customFormat="false" ht="15" hidden="false" customHeight="false" outlineLevel="0" collapsed="false">
      <c r="A640" s="5" t="n">
        <v>639</v>
      </c>
      <c r="B640" s="5" t="s">
        <v>308</v>
      </c>
      <c r="C640" s="5" t="s">
        <v>71</v>
      </c>
      <c r="D640" s="5" t="s">
        <v>1289</v>
      </c>
      <c r="E640" s="5" t="s">
        <v>1290</v>
      </c>
      <c r="F640" s="5"/>
      <c r="G640" s="5" t="str">
        <f aca="false">IF(EXACT(D640,E640),"Tetap","Diubah")</f>
        <v>Diubah</v>
      </c>
      <c r="H640" s="5" t="s">
        <v>23</v>
      </c>
    </row>
    <row r="641" customFormat="false" ht="15" hidden="false" customHeight="false" outlineLevel="0" collapsed="false">
      <c r="A641" s="5" t="n">
        <v>640</v>
      </c>
      <c r="B641" s="5" t="s">
        <v>308</v>
      </c>
      <c r="C641" s="5" t="s">
        <v>60</v>
      </c>
      <c r="D641" s="5" t="s">
        <v>1291</v>
      </c>
      <c r="E641" s="5" t="s">
        <v>1291</v>
      </c>
      <c r="F641" s="5" t="s">
        <v>28</v>
      </c>
      <c r="G641" s="5" t="str">
        <f aca="false">IF(EXACT(D641,E641),"Tetap","Diubah")</f>
        <v>Tetap</v>
      </c>
      <c r="H641" s="5" t="s">
        <v>23</v>
      </c>
    </row>
    <row r="642" customFormat="false" ht="15" hidden="false" customHeight="false" outlineLevel="0" collapsed="false">
      <c r="A642" s="5" t="n">
        <v>641</v>
      </c>
      <c r="B642" s="5" t="s">
        <v>308</v>
      </c>
      <c r="C642" s="5" t="s">
        <v>60</v>
      </c>
      <c r="D642" s="5" t="s">
        <v>1292</v>
      </c>
      <c r="E642" s="5" t="s">
        <v>1292</v>
      </c>
      <c r="F642" s="5" t="s">
        <v>28</v>
      </c>
      <c r="G642" s="5" t="str">
        <f aca="false">IF(EXACT(D642,E642),"Tetap","Diubah")</f>
        <v>Tetap</v>
      </c>
      <c r="H642" s="5" t="s">
        <v>23</v>
      </c>
    </row>
    <row r="643" customFormat="false" ht="15" hidden="false" customHeight="false" outlineLevel="0" collapsed="false">
      <c r="A643" s="5" t="n">
        <v>642</v>
      </c>
      <c r="B643" s="5" t="s">
        <v>308</v>
      </c>
      <c r="C643" s="5" t="s">
        <v>60</v>
      </c>
      <c r="D643" s="5" t="s">
        <v>364</v>
      </c>
      <c r="E643" s="5" t="s">
        <v>1293</v>
      </c>
      <c r="F643" s="5"/>
      <c r="G643" s="5" t="str">
        <f aca="false">IF(EXACT(D643,E643),"Tetap","Diubah")</f>
        <v>Diubah</v>
      </c>
      <c r="H643" s="5" t="s">
        <v>23</v>
      </c>
    </row>
    <row r="644" customFormat="false" ht="15" hidden="false" customHeight="false" outlineLevel="0" collapsed="false">
      <c r="A644" s="5" t="n">
        <v>643</v>
      </c>
      <c r="B644" s="5" t="s">
        <v>308</v>
      </c>
      <c r="C644" s="5" t="s">
        <v>60</v>
      </c>
      <c r="D644" s="5" t="s">
        <v>1294</v>
      </c>
      <c r="E644" s="5" t="s">
        <v>1295</v>
      </c>
      <c r="F644" s="5"/>
      <c r="G644" s="5" t="str">
        <f aca="false">IF(EXACT(D644,E644),"Tetap","Diubah")</f>
        <v>Diubah</v>
      </c>
      <c r="H644" s="5" t="s">
        <v>23</v>
      </c>
    </row>
    <row r="645" customFormat="false" ht="15" hidden="false" customHeight="false" outlineLevel="0" collapsed="false">
      <c r="A645" s="5" t="n">
        <v>644</v>
      </c>
      <c r="B645" s="5" t="s">
        <v>308</v>
      </c>
      <c r="C645" s="5" t="s">
        <v>153</v>
      </c>
      <c r="D645" s="5" t="s">
        <v>1296</v>
      </c>
      <c r="E645" s="5" t="s">
        <v>1297</v>
      </c>
      <c r="F645" s="5"/>
      <c r="G645" s="5" t="str">
        <f aca="false">IF(EXACT(D645,E645),"Tetap","Diubah")</f>
        <v>Diubah</v>
      </c>
      <c r="H645" s="5" t="s">
        <v>23</v>
      </c>
    </row>
    <row r="646" customFormat="false" ht="15" hidden="false" customHeight="false" outlineLevel="0" collapsed="false">
      <c r="A646" s="5" t="n">
        <v>645</v>
      </c>
      <c r="B646" s="5" t="s">
        <v>308</v>
      </c>
      <c r="C646" s="5" t="s">
        <v>54</v>
      </c>
      <c r="D646" s="5" t="s">
        <v>1298</v>
      </c>
      <c r="E646" s="5" t="s">
        <v>1299</v>
      </c>
      <c r="F646" s="5"/>
      <c r="G646" s="5" t="str">
        <f aca="false">IF(EXACT(D646,E646),"Tetap","Diubah")</f>
        <v>Diubah</v>
      </c>
      <c r="H646" s="5" t="s">
        <v>23</v>
      </c>
    </row>
    <row r="647" customFormat="false" ht="15" hidden="false" customHeight="false" outlineLevel="0" collapsed="false">
      <c r="A647" s="5" t="n">
        <v>646</v>
      </c>
      <c r="B647" s="5" t="s">
        <v>308</v>
      </c>
      <c r="C647" s="5" t="s">
        <v>54</v>
      </c>
      <c r="D647" s="5" t="s">
        <v>1300</v>
      </c>
      <c r="E647" s="5" t="s">
        <v>1301</v>
      </c>
      <c r="F647" s="5"/>
      <c r="G647" s="5" t="str">
        <f aca="false">IF(EXACT(D647,E647),"Tetap","Diubah")</f>
        <v>Diubah</v>
      </c>
      <c r="H647" s="5" t="s">
        <v>23</v>
      </c>
    </row>
    <row r="648" customFormat="false" ht="15" hidden="false" customHeight="false" outlineLevel="0" collapsed="false">
      <c r="A648" s="5" t="n">
        <v>647</v>
      </c>
      <c r="B648" s="5" t="s">
        <v>308</v>
      </c>
      <c r="C648" s="5" t="s">
        <v>90</v>
      </c>
      <c r="D648" s="5" t="s">
        <v>1302</v>
      </c>
      <c r="E648" s="5" t="s">
        <v>1303</v>
      </c>
      <c r="F648" s="5"/>
      <c r="G648" s="5" t="str">
        <f aca="false">IF(EXACT(D648,E648),"Tetap","Diubah")</f>
        <v>Diubah</v>
      </c>
      <c r="H648" s="5" t="s">
        <v>23</v>
      </c>
    </row>
    <row r="649" customFormat="false" ht="15" hidden="false" customHeight="false" outlineLevel="0" collapsed="false">
      <c r="A649" s="5" t="n">
        <v>648</v>
      </c>
      <c r="B649" s="5" t="s">
        <v>308</v>
      </c>
      <c r="C649" s="5" t="s">
        <v>90</v>
      </c>
      <c r="D649" s="5" t="s">
        <v>1304</v>
      </c>
      <c r="E649" s="5" t="s">
        <v>1305</v>
      </c>
      <c r="F649" s="5"/>
      <c r="G649" s="5" t="str">
        <f aca="false">IF(EXACT(D649,E649),"Tetap","Diubah")</f>
        <v>Diubah</v>
      </c>
      <c r="H649" s="5" t="s">
        <v>23</v>
      </c>
    </row>
    <row r="650" customFormat="false" ht="15" hidden="false" customHeight="false" outlineLevel="0" collapsed="false">
      <c r="A650" s="5" t="n">
        <v>649</v>
      </c>
      <c r="B650" s="5" t="s">
        <v>308</v>
      </c>
      <c r="C650" s="5" t="s">
        <v>54</v>
      </c>
      <c r="D650" s="5" t="s">
        <v>1306</v>
      </c>
      <c r="E650" s="5" t="s">
        <v>1306</v>
      </c>
      <c r="F650" s="5" t="s">
        <v>28</v>
      </c>
      <c r="G650" s="5" t="str">
        <f aca="false">IF(EXACT(D650,E650),"Tetap","Diubah")</f>
        <v>Tetap</v>
      </c>
      <c r="H650" s="5" t="s">
        <v>23</v>
      </c>
    </row>
    <row r="651" customFormat="false" ht="15" hidden="false" customHeight="false" outlineLevel="0" collapsed="false">
      <c r="A651" s="5" t="n">
        <v>650</v>
      </c>
      <c r="B651" s="5" t="s">
        <v>308</v>
      </c>
      <c r="C651" s="5" t="s">
        <v>54</v>
      </c>
      <c r="D651" s="5" t="s">
        <v>1307</v>
      </c>
      <c r="E651" s="5" t="s">
        <v>1308</v>
      </c>
      <c r="F651" s="5"/>
      <c r="G651" s="5" t="str">
        <f aca="false">IF(EXACT(D651,E651),"Tetap","Diubah")</f>
        <v>Diubah</v>
      </c>
      <c r="H651" s="5" t="s">
        <v>23</v>
      </c>
    </row>
    <row r="652" customFormat="false" ht="15" hidden="false" customHeight="false" outlineLevel="0" collapsed="false">
      <c r="A652" s="5" t="n">
        <v>651</v>
      </c>
      <c r="B652" s="5" t="s">
        <v>308</v>
      </c>
      <c r="C652" s="5" t="s">
        <v>54</v>
      </c>
      <c r="D652" s="5" t="s">
        <v>1309</v>
      </c>
      <c r="E652" s="5" t="s">
        <v>1310</v>
      </c>
      <c r="F652" s="5"/>
      <c r="G652" s="5" t="str">
        <f aca="false">IF(EXACT(D652,E652),"Tetap","Diubah")</f>
        <v>Diubah</v>
      </c>
      <c r="H652" s="5" t="s">
        <v>23</v>
      </c>
    </row>
    <row r="653" customFormat="false" ht="15" hidden="false" customHeight="false" outlineLevel="0" collapsed="false">
      <c r="A653" s="5" t="n">
        <v>652</v>
      </c>
      <c r="B653" s="5" t="s">
        <v>308</v>
      </c>
      <c r="C653" s="5" t="s">
        <v>54</v>
      </c>
      <c r="D653" s="5" t="s">
        <v>370</v>
      </c>
      <c r="E653" s="5" t="s">
        <v>1311</v>
      </c>
      <c r="F653" s="5" t="s">
        <v>1312</v>
      </c>
      <c r="G653" s="5" t="str">
        <f aca="false">IF(EXACT(D653,E653),"Tetap","Diubah")</f>
        <v>Diubah</v>
      </c>
      <c r="H653" s="5" t="s">
        <v>23</v>
      </c>
    </row>
    <row r="654" customFormat="false" ht="15" hidden="false" customHeight="false" outlineLevel="0" collapsed="false">
      <c r="A654" s="5" t="n">
        <v>653</v>
      </c>
      <c r="B654" s="5" t="s">
        <v>308</v>
      </c>
      <c r="C654" s="5" t="s">
        <v>54</v>
      </c>
      <c r="D654" s="5" t="s">
        <v>1313</v>
      </c>
      <c r="E654" s="5" t="s">
        <v>1314</v>
      </c>
      <c r="F654" s="5"/>
      <c r="G654" s="5" t="str">
        <f aca="false">IF(EXACT(D654,E654),"Tetap","Diubah")</f>
        <v>Diubah</v>
      </c>
      <c r="H654" s="5" t="s">
        <v>23</v>
      </c>
    </row>
    <row r="655" customFormat="false" ht="15" hidden="false" customHeight="false" outlineLevel="0" collapsed="false">
      <c r="A655" s="5" t="n">
        <v>654</v>
      </c>
      <c r="B655" s="5" t="s">
        <v>308</v>
      </c>
      <c r="C655" s="5" t="s">
        <v>54</v>
      </c>
      <c r="D655" s="5" t="s">
        <v>1315</v>
      </c>
      <c r="E655" s="5" t="s">
        <v>1316</v>
      </c>
      <c r="F655" s="5"/>
      <c r="G655" s="5" t="str">
        <f aca="false">IF(EXACT(D655,E655),"Tetap","Diubah")</f>
        <v>Diubah</v>
      </c>
      <c r="H655" s="5" t="s">
        <v>23</v>
      </c>
    </row>
    <row r="656" customFormat="false" ht="15" hidden="false" customHeight="false" outlineLevel="0" collapsed="false">
      <c r="A656" s="5" t="n">
        <v>655</v>
      </c>
      <c r="B656" s="5" t="s">
        <v>308</v>
      </c>
      <c r="C656" s="5" t="s">
        <v>54</v>
      </c>
      <c r="D656" s="5" t="s">
        <v>1317</v>
      </c>
      <c r="E656" s="5" t="s">
        <v>1318</v>
      </c>
      <c r="F656" s="5"/>
      <c r="G656" s="5" t="str">
        <f aca="false">IF(EXACT(D656,E656),"Tetap","Diubah")</f>
        <v>Diubah</v>
      </c>
      <c r="H656" s="5" t="s">
        <v>23</v>
      </c>
    </row>
    <row r="657" customFormat="false" ht="15" hidden="false" customHeight="false" outlineLevel="0" collapsed="false">
      <c r="A657" s="5" t="n">
        <v>656</v>
      </c>
      <c r="B657" s="5" t="s">
        <v>308</v>
      </c>
      <c r="C657" s="5" t="s">
        <v>54</v>
      </c>
      <c r="D657" s="5" t="s">
        <v>1319</v>
      </c>
      <c r="E657" s="5" t="s">
        <v>1320</v>
      </c>
      <c r="F657" s="5"/>
      <c r="G657" s="5" t="str">
        <f aca="false">IF(EXACT(D657,E657),"Tetap","Diubah")</f>
        <v>Diubah</v>
      </c>
      <c r="H657" s="5" t="s">
        <v>23</v>
      </c>
    </row>
    <row r="658" customFormat="false" ht="15" hidden="false" customHeight="false" outlineLevel="0" collapsed="false">
      <c r="A658" s="5" t="n">
        <v>657</v>
      </c>
      <c r="B658" s="5" t="s">
        <v>308</v>
      </c>
      <c r="C658" s="5" t="s">
        <v>54</v>
      </c>
      <c r="D658" s="5" t="s">
        <v>1321</v>
      </c>
      <c r="E658" s="5" t="s">
        <v>16</v>
      </c>
      <c r="F658" s="5"/>
      <c r="G658" s="5" t="str">
        <f aca="false">IF(EXACT(D658,E658),"Tetap","Diubah")</f>
        <v>Diubah</v>
      </c>
      <c r="H658" s="5" t="s">
        <v>23</v>
      </c>
    </row>
    <row r="659" customFormat="false" ht="15" hidden="false" customHeight="false" outlineLevel="0" collapsed="false">
      <c r="A659" s="5" t="n">
        <v>658</v>
      </c>
      <c r="B659" s="5" t="s">
        <v>308</v>
      </c>
      <c r="C659" s="5" t="s">
        <v>20</v>
      </c>
      <c r="D659" s="5" t="s">
        <v>1322</v>
      </c>
      <c r="E659" s="5" t="s">
        <v>1323</v>
      </c>
      <c r="F659" s="5"/>
      <c r="G659" s="5" t="str">
        <f aca="false">IF(EXACT(D659,E659),"Tetap","Diubah")</f>
        <v>Diubah</v>
      </c>
      <c r="H659" s="5" t="s">
        <v>23</v>
      </c>
    </row>
    <row r="660" customFormat="false" ht="15" hidden="false" customHeight="false" outlineLevel="0" collapsed="false">
      <c r="A660" s="5" t="n">
        <v>659</v>
      </c>
      <c r="B660" s="5" t="s">
        <v>308</v>
      </c>
      <c r="C660" s="5" t="s">
        <v>159</v>
      </c>
      <c r="D660" s="5" t="s">
        <v>1324</v>
      </c>
      <c r="E660" s="5" t="s">
        <v>1145</v>
      </c>
      <c r="F660" s="5"/>
      <c r="G660" s="5" t="str">
        <f aca="false">IF(EXACT(D660,E660),"Tetap","Diubah")</f>
        <v>Diubah</v>
      </c>
      <c r="H660" s="5" t="s">
        <v>23</v>
      </c>
    </row>
    <row r="661" customFormat="false" ht="23.85" hidden="false" customHeight="false" outlineLevel="0" collapsed="false">
      <c r="A661" s="5" t="n">
        <v>660</v>
      </c>
      <c r="B661" s="5" t="s">
        <v>308</v>
      </c>
      <c r="C661" s="5" t="s">
        <v>130</v>
      </c>
      <c r="D661" s="5" t="s">
        <v>1325</v>
      </c>
      <c r="E661" s="5" t="s">
        <v>1326</v>
      </c>
      <c r="F661" s="5"/>
      <c r="G661" s="5" t="str">
        <f aca="false">IF(EXACT(D661,E661),"Tetap","Diubah")</f>
        <v>Diubah</v>
      </c>
      <c r="H661" s="5" t="s">
        <v>23</v>
      </c>
    </row>
    <row r="662" customFormat="false" ht="15" hidden="false" customHeight="false" outlineLevel="0" collapsed="false">
      <c r="A662" s="5" t="n">
        <v>661</v>
      </c>
      <c r="B662" s="5" t="s">
        <v>308</v>
      </c>
      <c r="C662" s="5" t="s">
        <v>20</v>
      </c>
      <c r="D662" s="5" t="s">
        <v>204</v>
      </c>
      <c r="E662" s="5" t="s">
        <v>1327</v>
      </c>
      <c r="F662" s="5"/>
      <c r="G662" s="5" t="str">
        <f aca="false">IF(EXACT(D662,E662),"Tetap","Diubah")</f>
        <v>Diubah</v>
      </c>
      <c r="H662" s="5" t="s">
        <v>23</v>
      </c>
    </row>
    <row r="663" customFormat="false" ht="15" hidden="false" customHeight="false" outlineLevel="0" collapsed="false">
      <c r="A663" s="5" t="n">
        <v>662</v>
      </c>
      <c r="B663" s="5" t="s">
        <v>308</v>
      </c>
      <c r="C663" s="5" t="s">
        <v>20</v>
      </c>
      <c r="D663" s="5" t="s">
        <v>462</v>
      </c>
      <c r="E663" s="5" t="s">
        <v>1328</v>
      </c>
      <c r="F663" s="5"/>
      <c r="G663" s="5" t="str">
        <f aca="false">IF(EXACT(D663,E663),"Tetap","Diubah")</f>
        <v>Diubah</v>
      </c>
      <c r="H663" s="5" t="s">
        <v>23</v>
      </c>
    </row>
    <row r="664" customFormat="false" ht="15" hidden="false" customHeight="false" outlineLevel="0" collapsed="false">
      <c r="A664" s="5" t="n">
        <v>663</v>
      </c>
      <c r="B664" s="5" t="s">
        <v>308</v>
      </c>
      <c r="C664" s="5" t="s">
        <v>20</v>
      </c>
      <c r="D664" s="5" t="s">
        <v>1329</v>
      </c>
      <c r="E664" s="5" t="s">
        <v>1330</v>
      </c>
      <c r="F664" s="5"/>
      <c r="G664" s="5" t="str">
        <f aca="false">IF(EXACT(D664,E664),"Tetap","Diubah")</f>
        <v>Diubah</v>
      </c>
      <c r="H664" s="5" t="s">
        <v>23</v>
      </c>
    </row>
    <row r="665" customFormat="false" ht="15" hidden="false" customHeight="false" outlineLevel="0" collapsed="false">
      <c r="A665" s="5" t="n">
        <v>664</v>
      </c>
      <c r="B665" s="5" t="s">
        <v>308</v>
      </c>
      <c r="C665" s="5" t="s">
        <v>115</v>
      </c>
      <c r="D665" s="5" t="s">
        <v>1331</v>
      </c>
      <c r="E665" s="5" t="s">
        <v>1332</v>
      </c>
      <c r="F665" s="5"/>
      <c r="G665" s="5" t="str">
        <f aca="false">IF(EXACT(D665,E665),"Tetap","Diubah")</f>
        <v>Diubah</v>
      </c>
      <c r="H665" s="5" t="s">
        <v>23</v>
      </c>
    </row>
    <row r="666" customFormat="false" ht="15" hidden="false" customHeight="false" outlineLevel="0" collapsed="false">
      <c r="A666" s="5" t="n">
        <v>665</v>
      </c>
      <c r="B666" s="5" t="s">
        <v>308</v>
      </c>
      <c r="C666" s="5" t="s">
        <v>115</v>
      </c>
      <c r="D666" s="5" t="s">
        <v>1333</v>
      </c>
      <c r="E666" s="5" t="s">
        <v>204</v>
      </c>
      <c r="F666" s="5"/>
      <c r="G666" s="5" t="str">
        <f aca="false">IF(EXACT(D666,E666),"Tetap","Diubah")</f>
        <v>Diubah</v>
      </c>
      <c r="H666" s="5" t="s">
        <v>23</v>
      </c>
    </row>
    <row r="667" customFormat="false" ht="15" hidden="false" customHeight="false" outlineLevel="0" collapsed="false">
      <c r="A667" s="5" t="n">
        <v>666</v>
      </c>
      <c r="B667" s="5" t="s">
        <v>308</v>
      </c>
      <c r="C667" s="5" t="s">
        <v>115</v>
      </c>
      <c r="D667" s="5" t="s">
        <v>1334</v>
      </c>
      <c r="E667" s="5" t="s">
        <v>1335</v>
      </c>
      <c r="F667" s="5"/>
      <c r="G667" s="5" t="str">
        <f aca="false">IF(EXACT(D667,E667),"Tetap","Diubah")</f>
        <v>Diubah</v>
      </c>
      <c r="H667" s="5" t="s">
        <v>23</v>
      </c>
    </row>
    <row r="668" customFormat="false" ht="15" hidden="false" customHeight="false" outlineLevel="0" collapsed="false">
      <c r="A668" s="5" t="n">
        <v>667</v>
      </c>
      <c r="B668" s="5" t="s">
        <v>308</v>
      </c>
      <c r="C668" s="5" t="s">
        <v>115</v>
      </c>
      <c r="D668" s="5" t="s">
        <v>1336</v>
      </c>
      <c r="E668" s="5" t="s">
        <v>1337</v>
      </c>
      <c r="F668" s="5"/>
      <c r="G668" s="5" t="str">
        <f aca="false">IF(EXACT(D668,E668),"Tetap","Diubah")</f>
        <v>Diubah</v>
      </c>
      <c r="H668" s="5" t="s">
        <v>23</v>
      </c>
    </row>
    <row r="669" customFormat="false" ht="15" hidden="false" customHeight="false" outlineLevel="0" collapsed="false">
      <c r="A669" s="5" t="n">
        <v>668</v>
      </c>
      <c r="B669" s="5" t="s">
        <v>308</v>
      </c>
      <c r="C669" s="5" t="s">
        <v>71</v>
      </c>
      <c r="D669" s="5" t="s">
        <v>1338</v>
      </c>
      <c r="E669" s="5" t="s">
        <v>1339</v>
      </c>
      <c r="F669" s="5"/>
      <c r="G669" s="5" t="str">
        <f aca="false">IF(EXACT(D669,E669),"Tetap","Diubah")</f>
        <v>Diubah</v>
      </c>
      <c r="H669" s="5" t="s">
        <v>23</v>
      </c>
    </row>
    <row r="670" customFormat="false" ht="15" hidden="false" customHeight="false" outlineLevel="0" collapsed="false">
      <c r="A670" s="5" t="n">
        <v>669</v>
      </c>
      <c r="B670" s="5" t="s">
        <v>308</v>
      </c>
      <c r="C670" s="5" t="s">
        <v>60</v>
      </c>
      <c r="D670" s="5" t="s">
        <v>1340</v>
      </c>
      <c r="E670" s="5" t="s">
        <v>1341</v>
      </c>
      <c r="F670" s="5"/>
      <c r="G670" s="5" t="str">
        <f aca="false">IF(EXACT(D670,E670),"Tetap","Diubah")</f>
        <v>Diubah</v>
      </c>
      <c r="H670" s="5" t="s">
        <v>23</v>
      </c>
    </row>
    <row r="671" customFormat="false" ht="15" hidden="false" customHeight="false" outlineLevel="0" collapsed="false">
      <c r="A671" s="5" t="n">
        <v>670</v>
      </c>
      <c r="B671" s="5" t="s">
        <v>308</v>
      </c>
      <c r="C671" s="5" t="s">
        <v>60</v>
      </c>
      <c r="D671" s="5" t="s">
        <v>1342</v>
      </c>
      <c r="E671" s="5" t="s">
        <v>1342</v>
      </c>
      <c r="F671" s="5" t="s">
        <v>28</v>
      </c>
      <c r="G671" s="5" t="str">
        <f aca="false">IF(EXACT(D671,E671),"Tetap","Diubah")</f>
        <v>Tetap</v>
      </c>
      <c r="H671" s="5" t="s">
        <v>23</v>
      </c>
    </row>
    <row r="672" customFormat="false" ht="15" hidden="false" customHeight="false" outlineLevel="0" collapsed="false">
      <c r="A672" s="5" t="n">
        <v>671</v>
      </c>
      <c r="B672" s="5" t="s">
        <v>308</v>
      </c>
      <c r="C672" s="5" t="s">
        <v>60</v>
      </c>
      <c r="D672" s="5" t="s">
        <v>1343</v>
      </c>
      <c r="E672" s="5" t="s">
        <v>1344</v>
      </c>
      <c r="F672" s="5"/>
      <c r="G672" s="5" t="str">
        <f aca="false">IF(EXACT(D672,E672),"Tetap","Diubah")</f>
        <v>Diubah</v>
      </c>
      <c r="H672" s="5" t="s">
        <v>23</v>
      </c>
    </row>
    <row r="673" customFormat="false" ht="15" hidden="false" customHeight="false" outlineLevel="0" collapsed="false">
      <c r="A673" s="5" t="n">
        <v>672</v>
      </c>
      <c r="B673" s="5" t="s">
        <v>308</v>
      </c>
      <c r="C673" s="5" t="s">
        <v>60</v>
      </c>
      <c r="D673" s="5" t="s">
        <v>1345</v>
      </c>
      <c r="E673" s="5" t="s">
        <v>1346</v>
      </c>
      <c r="F673" s="5"/>
      <c r="G673" s="5" t="str">
        <f aca="false">IF(EXACT(D673,E673),"Tetap","Diubah")</f>
        <v>Diubah</v>
      </c>
      <c r="H673" s="5" t="s">
        <v>23</v>
      </c>
    </row>
    <row r="674" customFormat="false" ht="15" hidden="false" customHeight="false" outlineLevel="0" collapsed="false">
      <c r="A674" s="5" t="n">
        <v>673</v>
      </c>
      <c r="B674" s="5" t="s">
        <v>308</v>
      </c>
      <c r="C674" s="5" t="s">
        <v>60</v>
      </c>
      <c r="D674" s="5" t="s">
        <v>1347</v>
      </c>
      <c r="E674" s="5" t="s">
        <v>1347</v>
      </c>
      <c r="F674" s="5" t="s">
        <v>28</v>
      </c>
      <c r="G674" s="5" t="str">
        <f aca="false">IF(EXACT(D674,E674),"Tetap","Diubah")</f>
        <v>Tetap</v>
      </c>
      <c r="H674" s="5" t="s">
        <v>23</v>
      </c>
    </row>
    <row r="675" customFormat="false" ht="15" hidden="false" customHeight="false" outlineLevel="0" collapsed="false">
      <c r="A675" s="5" t="n">
        <v>674</v>
      </c>
      <c r="B675" s="5" t="s">
        <v>308</v>
      </c>
      <c r="C675" s="5" t="s">
        <v>159</v>
      </c>
      <c r="D675" s="5" t="s">
        <v>1348</v>
      </c>
      <c r="E675" s="5" t="s">
        <v>1134</v>
      </c>
      <c r="F675" s="5"/>
      <c r="G675" s="5" t="str">
        <f aca="false">IF(EXACT(D675,E675),"Tetap","Diubah")</f>
        <v>Diubah</v>
      </c>
      <c r="H675" s="5" t="s">
        <v>23</v>
      </c>
    </row>
    <row r="676" customFormat="false" ht="15" hidden="false" customHeight="false" outlineLevel="0" collapsed="false">
      <c r="A676" s="5" t="n">
        <v>675</v>
      </c>
      <c r="B676" s="5" t="s">
        <v>308</v>
      </c>
      <c r="C676" s="5" t="s">
        <v>115</v>
      </c>
      <c r="D676" s="5" t="s">
        <v>1349</v>
      </c>
      <c r="E676" s="5" t="s">
        <v>1349</v>
      </c>
      <c r="F676" s="5" t="s">
        <v>28</v>
      </c>
      <c r="G676" s="5" t="str">
        <f aca="false">IF(EXACT(D676,E676),"Tetap","Diubah")</f>
        <v>Tetap</v>
      </c>
      <c r="H676" s="5" t="s">
        <v>23</v>
      </c>
    </row>
    <row r="677" customFormat="false" ht="15" hidden="false" customHeight="false" outlineLevel="0" collapsed="false">
      <c r="A677" s="5" t="n">
        <v>676</v>
      </c>
      <c r="B677" s="5" t="s">
        <v>308</v>
      </c>
      <c r="C677" s="5" t="s">
        <v>115</v>
      </c>
      <c r="D677" s="5" t="s">
        <v>754</v>
      </c>
      <c r="E677" s="5" t="s">
        <v>754</v>
      </c>
      <c r="F677" s="5" t="s">
        <v>28</v>
      </c>
      <c r="G677" s="5" t="str">
        <f aca="false">IF(EXACT(D677,E677),"Tetap","Diubah")</f>
        <v>Tetap</v>
      </c>
      <c r="H677" s="5" t="s">
        <v>23</v>
      </c>
    </row>
    <row r="678" customFormat="false" ht="15" hidden="false" customHeight="false" outlineLevel="0" collapsed="false">
      <c r="A678" s="5" t="n">
        <v>677</v>
      </c>
      <c r="B678" s="5" t="s">
        <v>308</v>
      </c>
      <c r="C678" s="5" t="s">
        <v>153</v>
      </c>
      <c r="D678" s="5" t="s">
        <v>1350</v>
      </c>
      <c r="E678" s="5" t="s">
        <v>1351</v>
      </c>
      <c r="F678" s="5"/>
      <c r="G678" s="5" t="str">
        <f aca="false">IF(EXACT(D678,E678),"Tetap","Diubah")</f>
        <v>Diubah</v>
      </c>
      <c r="H678" s="5" t="s">
        <v>23</v>
      </c>
    </row>
    <row r="679" customFormat="false" ht="15" hidden="false" customHeight="false" outlineLevel="0" collapsed="false">
      <c r="A679" s="5" t="n">
        <v>678</v>
      </c>
      <c r="B679" s="5" t="s">
        <v>308</v>
      </c>
      <c r="C679" s="5" t="s">
        <v>54</v>
      </c>
      <c r="D679" s="5" t="s">
        <v>1352</v>
      </c>
      <c r="E679" s="5" t="s">
        <v>1353</v>
      </c>
      <c r="F679" s="5"/>
      <c r="G679" s="5" t="str">
        <f aca="false">IF(EXACT(D679,E679),"Tetap","Diubah")</f>
        <v>Diubah</v>
      </c>
      <c r="H679" s="5" t="s">
        <v>23</v>
      </c>
    </row>
    <row r="680" customFormat="false" ht="15" hidden="false" customHeight="false" outlineLevel="0" collapsed="false">
      <c r="A680" s="5" t="n">
        <v>679</v>
      </c>
      <c r="B680" s="5" t="s">
        <v>308</v>
      </c>
      <c r="C680" s="5" t="s">
        <v>54</v>
      </c>
      <c r="D680" s="5" t="s">
        <v>1354</v>
      </c>
      <c r="E680" s="5" t="s">
        <v>1355</v>
      </c>
      <c r="F680" s="5"/>
      <c r="G680" s="5" t="str">
        <f aca="false">IF(EXACT(D680,E680),"Tetap","Diubah")</f>
        <v>Diubah</v>
      </c>
      <c r="H680" s="5" t="s">
        <v>23</v>
      </c>
    </row>
    <row r="681" customFormat="false" ht="15" hidden="false" customHeight="false" outlineLevel="0" collapsed="false">
      <c r="A681" s="5" t="n">
        <v>680</v>
      </c>
      <c r="B681" s="5" t="s">
        <v>308</v>
      </c>
      <c r="C681" s="5" t="s">
        <v>54</v>
      </c>
      <c r="D681" s="5" t="s">
        <v>1356</v>
      </c>
      <c r="E681" s="5" t="s">
        <v>1357</v>
      </c>
      <c r="F681" s="5"/>
      <c r="G681" s="5" t="str">
        <f aca="false">IF(EXACT(D681,E681),"Tetap","Diubah")</f>
        <v>Diubah</v>
      </c>
      <c r="H681" s="5" t="s">
        <v>23</v>
      </c>
    </row>
    <row r="682" customFormat="false" ht="15" hidden="false" customHeight="false" outlineLevel="0" collapsed="false">
      <c r="A682" s="5" t="n">
        <v>681</v>
      </c>
      <c r="B682" s="5" t="s">
        <v>308</v>
      </c>
      <c r="C682" s="5" t="s">
        <v>54</v>
      </c>
      <c r="D682" s="5" t="s">
        <v>1358</v>
      </c>
      <c r="E682" s="5" t="s">
        <v>1359</v>
      </c>
      <c r="F682" s="5"/>
      <c r="G682" s="5" t="str">
        <f aca="false">IF(EXACT(D682,E682),"Tetap","Diubah")</f>
        <v>Diubah</v>
      </c>
      <c r="H682" s="5" t="s">
        <v>23</v>
      </c>
    </row>
    <row r="683" customFormat="false" ht="15" hidden="false" customHeight="false" outlineLevel="0" collapsed="false">
      <c r="A683" s="5" t="n">
        <v>682</v>
      </c>
      <c r="B683" s="5" t="s">
        <v>308</v>
      </c>
      <c r="C683" s="5" t="s">
        <v>20</v>
      </c>
      <c r="D683" s="5" t="s">
        <v>1360</v>
      </c>
      <c r="E683" s="5" t="s">
        <v>1361</v>
      </c>
      <c r="F683" s="5"/>
      <c r="G683" s="5" t="str">
        <f aca="false">IF(EXACT(D683,E683),"Tetap","Diubah")</f>
        <v>Diubah</v>
      </c>
      <c r="H683" s="5" t="s">
        <v>23</v>
      </c>
    </row>
    <row r="684" customFormat="false" ht="35.05" hidden="false" customHeight="false" outlineLevel="0" collapsed="false">
      <c r="A684" s="5" t="n">
        <v>683</v>
      </c>
      <c r="B684" s="5" t="s">
        <v>308</v>
      </c>
      <c r="C684" s="5" t="s">
        <v>130</v>
      </c>
      <c r="D684" s="5" t="s">
        <v>1362</v>
      </c>
      <c r="E684" s="5" t="s">
        <v>1363</v>
      </c>
      <c r="F684" s="5"/>
      <c r="G684" s="5" t="str">
        <f aca="false">IF(EXACT(D684,E684),"Tetap","Diubah")</f>
        <v>Diubah</v>
      </c>
      <c r="H684" s="5" t="s">
        <v>23</v>
      </c>
    </row>
    <row r="685" customFormat="false" ht="35.05" hidden="false" customHeight="false" outlineLevel="0" collapsed="false">
      <c r="A685" s="5" t="n">
        <v>684</v>
      </c>
      <c r="B685" s="5" t="s">
        <v>308</v>
      </c>
      <c r="C685" s="5" t="s">
        <v>130</v>
      </c>
      <c r="D685" s="5" t="s">
        <v>1364</v>
      </c>
      <c r="E685" s="5" t="s">
        <v>1365</v>
      </c>
      <c r="F685" s="5"/>
      <c r="G685" s="5" t="str">
        <f aca="false">IF(EXACT(D685,E685),"Tetap","Diubah")</f>
        <v>Diubah</v>
      </c>
      <c r="H685" s="5" t="s">
        <v>23</v>
      </c>
    </row>
    <row r="686" customFormat="false" ht="15" hidden="false" customHeight="false" outlineLevel="0" collapsed="false">
      <c r="A686" s="5" t="n">
        <v>685</v>
      </c>
      <c r="B686" s="5" t="s">
        <v>308</v>
      </c>
      <c r="C686" s="5" t="s">
        <v>130</v>
      </c>
      <c r="D686" s="5" t="s">
        <v>1366</v>
      </c>
      <c r="E686" s="5" t="s">
        <v>1367</v>
      </c>
      <c r="F686" s="5"/>
      <c r="G686" s="5" t="str">
        <f aca="false">IF(EXACT(D686,E686),"Tetap","Diubah")</f>
        <v>Diubah</v>
      </c>
      <c r="H686" s="5" t="s">
        <v>23</v>
      </c>
    </row>
    <row r="687" customFormat="false" ht="15" hidden="false" customHeight="false" outlineLevel="0" collapsed="false">
      <c r="A687" s="5" t="n">
        <v>686</v>
      </c>
      <c r="B687" s="5" t="s">
        <v>308</v>
      </c>
      <c r="C687" s="5" t="s">
        <v>153</v>
      </c>
      <c r="D687" s="5" t="s">
        <v>1368</v>
      </c>
      <c r="E687" s="5" t="s">
        <v>1369</v>
      </c>
      <c r="F687" s="5"/>
      <c r="G687" s="5" t="str">
        <f aca="false">IF(EXACT(D687,E687),"Tetap","Diubah")</f>
        <v>Diubah</v>
      </c>
      <c r="H687" s="5" t="s">
        <v>23</v>
      </c>
    </row>
    <row r="688" customFormat="false" ht="15" hidden="false" customHeight="false" outlineLevel="0" collapsed="false">
      <c r="A688" s="5" t="n">
        <v>687</v>
      </c>
      <c r="B688" s="5" t="s">
        <v>308</v>
      </c>
      <c r="C688" s="5" t="s">
        <v>54</v>
      </c>
      <c r="D688" s="5" t="s">
        <v>1370</v>
      </c>
      <c r="E688" s="5" t="s">
        <v>1370</v>
      </c>
      <c r="F688" s="5" t="s">
        <v>28</v>
      </c>
      <c r="G688" s="5" t="str">
        <f aca="false">IF(EXACT(D688,E688),"Tetap","Diubah")</f>
        <v>Tetap</v>
      </c>
      <c r="H688" s="5" t="s">
        <v>23</v>
      </c>
    </row>
    <row r="689" customFormat="false" ht="15" hidden="false" customHeight="false" outlineLevel="0" collapsed="false">
      <c r="A689" s="5" t="n">
        <v>688</v>
      </c>
      <c r="B689" s="5" t="s">
        <v>308</v>
      </c>
      <c r="C689" s="5" t="s">
        <v>100</v>
      </c>
      <c r="D689" s="5" t="s">
        <v>1371</v>
      </c>
      <c r="E689" s="5" t="s">
        <v>1372</v>
      </c>
      <c r="F689" s="5"/>
      <c r="G689" s="5" t="str">
        <f aca="false">IF(EXACT(D689,E689),"Tetap","Diubah")</f>
        <v>Diubah</v>
      </c>
      <c r="H689" s="5" t="s">
        <v>23</v>
      </c>
    </row>
    <row r="690" customFormat="false" ht="15" hidden="false" customHeight="false" outlineLevel="0" collapsed="false">
      <c r="A690" s="5" t="n">
        <v>689</v>
      </c>
      <c r="B690" s="5" t="s">
        <v>308</v>
      </c>
      <c r="C690" s="5" t="s">
        <v>54</v>
      </c>
      <c r="D690" s="5" t="s">
        <v>1373</v>
      </c>
      <c r="E690" s="5" t="s">
        <v>1374</v>
      </c>
      <c r="F690" s="5"/>
      <c r="G690" s="5" t="str">
        <f aca="false">IF(EXACT(D690,E690),"Tetap","Diubah")</f>
        <v>Diubah</v>
      </c>
      <c r="H690" s="5" t="s">
        <v>23</v>
      </c>
    </row>
    <row r="691" customFormat="false" ht="15" hidden="false" customHeight="false" outlineLevel="0" collapsed="false">
      <c r="A691" s="5" t="n">
        <v>690</v>
      </c>
      <c r="B691" s="5" t="s">
        <v>308</v>
      </c>
      <c r="C691" s="5" t="s">
        <v>330</v>
      </c>
      <c r="D691" s="5" t="s">
        <v>1375</v>
      </c>
      <c r="E691" s="5" t="s">
        <v>1376</v>
      </c>
      <c r="F691" s="5"/>
      <c r="G691" s="5" t="str">
        <f aca="false">IF(EXACT(D691,E691),"Tetap","Diubah")</f>
        <v>Diubah</v>
      </c>
      <c r="H691" s="5" t="s">
        <v>23</v>
      </c>
    </row>
    <row r="692" customFormat="false" ht="23.85" hidden="false" customHeight="false" outlineLevel="0" collapsed="false">
      <c r="A692" s="5" t="n">
        <v>691</v>
      </c>
      <c r="B692" s="5" t="s">
        <v>308</v>
      </c>
      <c r="C692" s="5" t="s">
        <v>71</v>
      </c>
      <c r="D692" s="5" t="s">
        <v>1377</v>
      </c>
      <c r="E692" s="5" t="s">
        <v>1378</v>
      </c>
      <c r="F692" s="5"/>
      <c r="G692" s="5" t="str">
        <f aca="false">IF(EXACT(D692,E692),"Tetap","Diubah")</f>
        <v>Diubah</v>
      </c>
      <c r="H692" s="5" t="s">
        <v>23</v>
      </c>
    </row>
    <row r="693" customFormat="false" ht="15" hidden="false" customHeight="false" outlineLevel="0" collapsed="false">
      <c r="A693" s="5" t="n">
        <v>692</v>
      </c>
      <c r="B693" s="5" t="s">
        <v>308</v>
      </c>
      <c r="C693" s="5" t="s">
        <v>60</v>
      </c>
      <c r="D693" s="5" t="s">
        <v>1379</v>
      </c>
      <c r="E693" s="5" t="s">
        <v>1380</v>
      </c>
      <c r="F693" s="5"/>
      <c r="G693" s="5" t="str">
        <f aca="false">IF(EXACT(D693,E693),"Tetap","Diubah")</f>
        <v>Diubah</v>
      </c>
      <c r="H693" s="5" t="s">
        <v>23</v>
      </c>
    </row>
    <row r="694" customFormat="false" ht="15" hidden="false" customHeight="false" outlineLevel="0" collapsed="false">
      <c r="A694" s="5" t="n">
        <v>693</v>
      </c>
      <c r="B694" s="5" t="s">
        <v>308</v>
      </c>
      <c r="C694" s="5" t="s">
        <v>159</v>
      </c>
      <c r="D694" s="5" t="s">
        <v>1381</v>
      </c>
      <c r="E694" s="5" t="s">
        <v>1141</v>
      </c>
      <c r="F694" s="5"/>
      <c r="G694" s="5" t="str">
        <f aca="false">IF(EXACT(D694,E694),"Tetap","Diubah")</f>
        <v>Diubah</v>
      </c>
      <c r="H694" s="5" t="s">
        <v>23</v>
      </c>
    </row>
    <row r="695" customFormat="false" ht="15" hidden="false" customHeight="false" outlineLevel="0" collapsed="false">
      <c r="A695" s="5" t="n">
        <v>694</v>
      </c>
      <c r="B695" s="5" t="s">
        <v>308</v>
      </c>
      <c r="C695" s="5" t="s">
        <v>221</v>
      </c>
      <c r="D695" s="5" t="s">
        <v>1382</v>
      </c>
      <c r="E695" s="5" t="s">
        <v>1383</v>
      </c>
      <c r="F695" s="5"/>
      <c r="G695" s="5" t="str">
        <f aca="false">IF(EXACT(D695,E695),"Tetap","Diubah")</f>
        <v>Diubah</v>
      </c>
      <c r="H695" s="5" t="s">
        <v>23</v>
      </c>
    </row>
    <row r="696" customFormat="false" ht="15" hidden="false" customHeight="false" outlineLevel="0" collapsed="false">
      <c r="A696" s="5" t="n">
        <v>695</v>
      </c>
      <c r="B696" s="5" t="s">
        <v>308</v>
      </c>
      <c r="C696" s="5" t="s">
        <v>54</v>
      </c>
      <c r="D696" s="5" t="s">
        <v>1384</v>
      </c>
      <c r="E696" s="5" t="s">
        <v>1385</v>
      </c>
      <c r="F696" s="5"/>
      <c r="G696" s="5" t="str">
        <f aca="false">IF(EXACT(D696,E696),"Tetap","Diubah")</f>
        <v>Diubah</v>
      </c>
      <c r="H696" s="5" t="s">
        <v>23</v>
      </c>
    </row>
    <row r="697" customFormat="false" ht="15" hidden="false" customHeight="false" outlineLevel="0" collapsed="false">
      <c r="A697" s="5" t="n">
        <v>696</v>
      </c>
      <c r="B697" s="5" t="s">
        <v>308</v>
      </c>
      <c r="C697" s="5" t="s">
        <v>100</v>
      </c>
      <c r="D697" s="5" t="s">
        <v>1386</v>
      </c>
      <c r="E697" s="5" t="s">
        <v>1372</v>
      </c>
      <c r="F697" s="5"/>
      <c r="G697" s="5" t="str">
        <f aca="false">IF(EXACT(D697,E697),"Tetap","Diubah")</f>
        <v>Diubah</v>
      </c>
      <c r="H697" s="5" t="s">
        <v>23</v>
      </c>
    </row>
    <row r="698" customFormat="false" ht="15" hidden="false" customHeight="false" outlineLevel="0" collapsed="false">
      <c r="A698" s="5" t="n">
        <v>697</v>
      </c>
      <c r="B698" s="5" t="s">
        <v>308</v>
      </c>
      <c r="C698" s="5" t="s">
        <v>20</v>
      </c>
      <c r="D698" s="5" t="s">
        <v>1387</v>
      </c>
      <c r="E698" s="5" t="s">
        <v>1388</v>
      </c>
      <c r="F698" s="5"/>
      <c r="G698" s="5" t="str">
        <f aca="false">IF(EXACT(D698,E698),"Tetap","Diubah")</f>
        <v>Diubah</v>
      </c>
      <c r="H698" s="5" t="s">
        <v>23</v>
      </c>
    </row>
    <row r="699" customFormat="false" ht="15" hidden="false" customHeight="false" outlineLevel="0" collapsed="false">
      <c r="A699" s="5" t="n">
        <v>698</v>
      </c>
      <c r="B699" s="5" t="s">
        <v>308</v>
      </c>
      <c r="C699" s="5" t="s">
        <v>54</v>
      </c>
      <c r="D699" s="5" t="s">
        <v>1389</v>
      </c>
      <c r="E699" s="5" t="s">
        <v>1390</v>
      </c>
      <c r="F699" s="5"/>
      <c r="G699" s="5" t="str">
        <f aca="false">IF(EXACT(D699,E699),"Tetap","Diubah")</f>
        <v>Diubah</v>
      </c>
      <c r="H699" s="5" t="s">
        <v>23</v>
      </c>
    </row>
    <row r="700" customFormat="false" ht="15" hidden="false" customHeight="false" outlineLevel="0" collapsed="false">
      <c r="A700" s="5" t="n">
        <v>699</v>
      </c>
      <c r="B700" s="5" t="s">
        <v>308</v>
      </c>
      <c r="C700" s="5" t="s">
        <v>283</v>
      </c>
      <c r="D700" s="5" t="s">
        <v>1391</v>
      </c>
      <c r="E700" s="5" t="s">
        <v>1391</v>
      </c>
      <c r="F700" s="5" t="s">
        <v>28</v>
      </c>
      <c r="G700" s="5" t="str">
        <f aca="false">IF(EXACT(D700,E700),"Tetap","Diubah")</f>
        <v>Tetap</v>
      </c>
      <c r="H700" s="5" t="s">
        <v>23</v>
      </c>
    </row>
    <row r="701" customFormat="false" ht="15" hidden="false" customHeight="false" outlineLevel="0" collapsed="false">
      <c r="A701" s="5" t="n">
        <v>700</v>
      </c>
      <c r="B701" s="5" t="s">
        <v>308</v>
      </c>
      <c r="C701" s="5" t="s">
        <v>330</v>
      </c>
      <c r="D701" s="5" t="s">
        <v>1392</v>
      </c>
      <c r="E701" s="5" t="s">
        <v>1393</v>
      </c>
      <c r="F701" s="5"/>
      <c r="G701" s="5" t="str">
        <f aca="false">IF(EXACT(D701,E701),"Tetap","Diubah")</f>
        <v>Diubah</v>
      </c>
      <c r="H701" s="5" t="s">
        <v>23</v>
      </c>
    </row>
    <row r="702" customFormat="false" ht="15" hidden="false" customHeight="false" outlineLevel="0" collapsed="false">
      <c r="A702" s="5" t="n">
        <v>701</v>
      </c>
      <c r="B702" s="5" t="s">
        <v>308</v>
      </c>
      <c r="C702" s="5" t="s">
        <v>159</v>
      </c>
      <c r="D702" s="5" t="s">
        <v>1394</v>
      </c>
      <c r="E702" s="5" t="s">
        <v>1137</v>
      </c>
      <c r="F702" s="5" t="s">
        <v>1395</v>
      </c>
      <c r="G702" s="5" t="str">
        <f aca="false">IF(EXACT(D702,E702),"Tetap","Diubah")</f>
        <v>Diubah</v>
      </c>
      <c r="H702" s="5" t="s">
        <v>23</v>
      </c>
    </row>
    <row r="703" customFormat="false" ht="15" hidden="false" customHeight="false" outlineLevel="0" collapsed="false">
      <c r="A703" s="5" t="n">
        <v>702</v>
      </c>
      <c r="B703" s="5" t="s">
        <v>308</v>
      </c>
      <c r="C703" s="5" t="s">
        <v>115</v>
      </c>
      <c r="D703" s="5" t="s">
        <v>1396</v>
      </c>
      <c r="E703" s="5" t="s">
        <v>1397</v>
      </c>
      <c r="F703" s="5"/>
      <c r="G703" s="5" t="str">
        <f aca="false">IF(EXACT(D703,E703),"Tetap","Diubah")</f>
        <v>Diubah</v>
      </c>
      <c r="H703" s="5" t="s">
        <v>23</v>
      </c>
    </row>
    <row r="704" customFormat="false" ht="15" hidden="false" customHeight="false" outlineLevel="0" collapsed="false">
      <c r="A704" s="5" t="n">
        <v>703</v>
      </c>
      <c r="B704" s="5" t="s">
        <v>308</v>
      </c>
      <c r="C704" s="5" t="s">
        <v>115</v>
      </c>
      <c r="D704" s="5" t="s">
        <v>1398</v>
      </c>
      <c r="E704" s="5" t="s">
        <v>1399</v>
      </c>
      <c r="F704" s="5"/>
      <c r="G704" s="5" t="str">
        <f aca="false">IF(EXACT(D704,E704),"Tetap","Diubah")</f>
        <v>Diubah</v>
      </c>
      <c r="H704" s="5" t="s">
        <v>23</v>
      </c>
    </row>
    <row r="705" customFormat="false" ht="15" hidden="false" customHeight="false" outlineLevel="0" collapsed="false">
      <c r="A705" s="5" t="n">
        <v>704</v>
      </c>
      <c r="B705" s="5" t="s">
        <v>308</v>
      </c>
      <c r="C705" s="5" t="s">
        <v>54</v>
      </c>
      <c r="D705" s="5" t="s">
        <v>1400</v>
      </c>
      <c r="E705" s="5" t="s">
        <v>1280</v>
      </c>
      <c r="F705" s="5"/>
      <c r="G705" s="5" t="str">
        <f aca="false">IF(EXACT(D705,E705),"Tetap","Diubah")</f>
        <v>Diubah</v>
      </c>
      <c r="H705" s="5" t="s">
        <v>23</v>
      </c>
    </row>
    <row r="706" customFormat="false" ht="15" hidden="false" customHeight="false" outlineLevel="0" collapsed="false">
      <c r="A706" s="5" t="n">
        <v>705</v>
      </c>
      <c r="B706" s="5" t="s">
        <v>308</v>
      </c>
      <c r="C706" s="5" t="s">
        <v>54</v>
      </c>
      <c r="D706" s="5" t="s">
        <v>1401</v>
      </c>
      <c r="E706" s="5" t="s">
        <v>1172</v>
      </c>
      <c r="F706" s="5"/>
      <c r="G706" s="5" t="str">
        <f aca="false">IF(EXACT(D706,E706),"Tetap","Diubah")</f>
        <v>Diubah</v>
      </c>
      <c r="H706" s="5" t="s">
        <v>23</v>
      </c>
    </row>
    <row r="707" customFormat="false" ht="23.85" hidden="false" customHeight="false" outlineLevel="0" collapsed="false">
      <c r="A707" s="5" t="n">
        <v>706</v>
      </c>
      <c r="B707" s="5" t="s">
        <v>308</v>
      </c>
      <c r="C707" s="5" t="s">
        <v>71</v>
      </c>
      <c r="D707" s="5" t="s">
        <v>1402</v>
      </c>
      <c r="E707" s="5" t="s">
        <v>1403</v>
      </c>
      <c r="F707" s="5"/>
      <c r="G707" s="5" t="str">
        <f aca="false">IF(EXACT(D707,E707),"Tetap","Diubah")</f>
        <v>Diubah</v>
      </c>
      <c r="H707" s="5" t="s">
        <v>23</v>
      </c>
    </row>
    <row r="708" customFormat="false" ht="15" hidden="false" customHeight="false" outlineLevel="0" collapsed="false">
      <c r="A708" s="5" t="n">
        <v>707</v>
      </c>
      <c r="B708" s="5" t="s">
        <v>308</v>
      </c>
      <c r="C708" s="5" t="s">
        <v>60</v>
      </c>
      <c r="D708" s="5" t="s">
        <v>1404</v>
      </c>
      <c r="E708" s="5" t="s">
        <v>1405</v>
      </c>
      <c r="F708" s="5"/>
      <c r="G708" s="5" t="str">
        <f aca="false">IF(EXACT(D708,E708),"Tetap","Diubah")</f>
        <v>Diubah</v>
      </c>
      <c r="H708" s="5" t="s">
        <v>23</v>
      </c>
    </row>
    <row r="709" customFormat="false" ht="15" hidden="false" customHeight="false" outlineLevel="0" collapsed="false">
      <c r="A709" s="5" t="n">
        <v>708</v>
      </c>
      <c r="B709" s="5" t="s">
        <v>308</v>
      </c>
      <c r="C709" s="5" t="s">
        <v>90</v>
      </c>
      <c r="D709" s="5" t="s">
        <v>1406</v>
      </c>
      <c r="E709" s="5" t="s">
        <v>1407</v>
      </c>
      <c r="F709" s="5" t="s">
        <v>1408</v>
      </c>
      <c r="G709" s="5" t="str">
        <f aca="false">IF(EXACT(D709,E709),"Tetap","Diubah")</f>
        <v>Diubah</v>
      </c>
      <c r="H709" s="5" t="s">
        <v>23</v>
      </c>
    </row>
    <row r="710" customFormat="false" ht="15" hidden="false" customHeight="false" outlineLevel="0" collapsed="false">
      <c r="A710" s="5" t="n">
        <v>709</v>
      </c>
      <c r="B710" s="5" t="s">
        <v>308</v>
      </c>
      <c r="C710" s="5" t="s">
        <v>20</v>
      </c>
      <c r="D710" s="5" t="s">
        <v>1409</v>
      </c>
      <c r="E710" s="5" t="s">
        <v>1410</v>
      </c>
      <c r="F710" s="5"/>
      <c r="G710" s="5" t="str">
        <f aca="false">IF(EXACT(D710,E710),"Tetap","Diubah")</f>
        <v>Diubah</v>
      </c>
      <c r="H710" s="5" t="s">
        <v>23</v>
      </c>
    </row>
    <row r="711" customFormat="false" ht="15" hidden="false" customHeight="false" outlineLevel="0" collapsed="false">
      <c r="A711" s="5" t="n">
        <v>710</v>
      </c>
      <c r="B711" s="5" t="s">
        <v>308</v>
      </c>
      <c r="C711" s="5" t="s">
        <v>20</v>
      </c>
      <c r="D711" s="5" t="s">
        <v>1411</v>
      </c>
      <c r="E711" s="5" t="s">
        <v>1412</v>
      </c>
      <c r="F711" s="5"/>
      <c r="G711" s="5" t="str">
        <f aca="false">IF(EXACT(D711,E711),"Tetap","Diubah")</f>
        <v>Diubah</v>
      </c>
      <c r="H711" s="5" t="s">
        <v>23</v>
      </c>
    </row>
    <row r="712" customFormat="false" ht="15" hidden="false" customHeight="false" outlineLevel="0" collapsed="false">
      <c r="A712" s="5" t="n">
        <v>711</v>
      </c>
      <c r="B712" s="5" t="s">
        <v>308</v>
      </c>
      <c r="C712" s="5" t="s">
        <v>54</v>
      </c>
      <c r="D712" s="5" t="s">
        <v>1413</v>
      </c>
      <c r="E712" s="5" t="s">
        <v>262</v>
      </c>
      <c r="F712" s="5"/>
      <c r="G712" s="5" t="str">
        <f aca="false">IF(EXACT(D712,E712),"Tetap","Diubah")</f>
        <v>Diubah</v>
      </c>
      <c r="H712" s="5" t="s">
        <v>23</v>
      </c>
    </row>
    <row r="713" customFormat="false" ht="15" hidden="false" customHeight="false" outlineLevel="0" collapsed="false">
      <c r="A713" s="5" t="n">
        <v>712</v>
      </c>
      <c r="B713" s="5" t="s">
        <v>308</v>
      </c>
      <c r="C713" s="5" t="s">
        <v>90</v>
      </c>
      <c r="D713" s="5" t="s">
        <v>1414</v>
      </c>
      <c r="E713" s="5" t="s">
        <v>1415</v>
      </c>
      <c r="F713" s="5"/>
      <c r="G713" s="5" t="str">
        <f aca="false">IF(EXACT(D713,E713),"Tetap","Diubah")</f>
        <v>Diubah</v>
      </c>
      <c r="H713" s="5" t="s">
        <v>23</v>
      </c>
    </row>
    <row r="714" customFormat="false" ht="15" hidden="false" customHeight="false" outlineLevel="0" collapsed="false">
      <c r="A714" s="5" t="n">
        <v>713</v>
      </c>
      <c r="B714" s="5" t="s">
        <v>308</v>
      </c>
      <c r="C714" s="5" t="s">
        <v>90</v>
      </c>
      <c r="D714" s="5" t="s">
        <v>1416</v>
      </c>
      <c r="E714" s="5" t="s">
        <v>1417</v>
      </c>
      <c r="F714" s="5"/>
      <c r="G714" s="5" t="str">
        <f aca="false">IF(EXACT(D714,E714),"Tetap","Diubah")</f>
        <v>Diubah</v>
      </c>
      <c r="H714" s="5" t="s">
        <v>23</v>
      </c>
    </row>
    <row r="715" customFormat="false" ht="15" hidden="false" customHeight="false" outlineLevel="0" collapsed="false">
      <c r="A715" s="5" t="n">
        <v>714</v>
      </c>
      <c r="B715" s="5" t="s">
        <v>308</v>
      </c>
      <c r="C715" s="5" t="s">
        <v>54</v>
      </c>
      <c r="D715" s="5" t="s">
        <v>1418</v>
      </c>
      <c r="E715" s="5" t="s">
        <v>1419</v>
      </c>
      <c r="F715" s="5"/>
      <c r="G715" s="5" t="str">
        <f aca="false">IF(EXACT(D715,E715),"Tetap","Diubah")</f>
        <v>Diubah</v>
      </c>
      <c r="H715" s="5" t="s">
        <v>23</v>
      </c>
    </row>
    <row r="716" customFormat="false" ht="15" hidden="false" customHeight="false" outlineLevel="0" collapsed="false">
      <c r="A716" s="5" t="n">
        <v>715</v>
      </c>
      <c r="B716" s="5" t="s">
        <v>308</v>
      </c>
      <c r="C716" s="5" t="s">
        <v>20</v>
      </c>
      <c r="D716" s="5" t="s">
        <v>1420</v>
      </c>
      <c r="E716" s="5" t="s">
        <v>1421</v>
      </c>
      <c r="F716" s="5"/>
      <c r="G716" s="5" t="str">
        <f aca="false">IF(EXACT(D716,E716),"Tetap","Diubah")</f>
        <v>Diubah</v>
      </c>
      <c r="H716" s="5" t="s">
        <v>23</v>
      </c>
    </row>
    <row r="717" customFormat="false" ht="15" hidden="false" customHeight="false" outlineLevel="0" collapsed="false">
      <c r="A717" s="5" t="n">
        <v>716</v>
      </c>
      <c r="B717" s="5" t="s">
        <v>308</v>
      </c>
      <c r="C717" s="5" t="s">
        <v>20</v>
      </c>
      <c r="D717" s="5" t="s">
        <v>1422</v>
      </c>
      <c r="E717" s="5" t="s">
        <v>1423</v>
      </c>
      <c r="F717" s="5"/>
      <c r="G717" s="5" t="str">
        <f aca="false">IF(EXACT(D717,E717),"Tetap","Diubah")</f>
        <v>Diubah</v>
      </c>
      <c r="H717" s="5" t="s">
        <v>23</v>
      </c>
    </row>
    <row r="718" customFormat="false" ht="15" hidden="false" customHeight="false" outlineLevel="0" collapsed="false">
      <c r="A718" s="5" t="n">
        <v>717</v>
      </c>
      <c r="B718" s="5" t="s">
        <v>308</v>
      </c>
      <c r="C718" s="5" t="s">
        <v>20</v>
      </c>
      <c r="D718" s="5" t="s">
        <v>1424</v>
      </c>
      <c r="E718" s="5" t="s">
        <v>1425</v>
      </c>
      <c r="F718" s="5"/>
      <c r="G718" s="5" t="str">
        <f aca="false">IF(EXACT(D718,E718),"Tetap","Diubah")</f>
        <v>Diubah</v>
      </c>
      <c r="H718" s="5" t="s">
        <v>23</v>
      </c>
    </row>
    <row r="719" customFormat="false" ht="15" hidden="false" customHeight="false" outlineLevel="0" collapsed="false">
      <c r="A719" s="5" t="n">
        <v>718</v>
      </c>
      <c r="B719" s="5" t="s">
        <v>308</v>
      </c>
      <c r="C719" s="5" t="s">
        <v>20</v>
      </c>
      <c r="D719" s="5" t="s">
        <v>1426</v>
      </c>
      <c r="E719" s="5" t="s">
        <v>1427</v>
      </c>
      <c r="F719" s="5"/>
      <c r="G719" s="5" t="str">
        <f aca="false">IF(EXACT(D719,E719),"Tetap","Diubah")</f>
        <v>Diubah</v>
      </c>
      <c r="H719" s="5" t="s">
        <v>23</v>
      </c>
    </row>
    <row r="720" customFormat="false" ht="15" hidden="false" customHeight="false" outlineLevel="0" collapsed="false">
      <c r="A720" s="5" t="n">
        <v>719</v>
      </c>
      <c r="B720" s="5" t="s">
        <v>308</v>
      </c>
      <c r="C720" s="5" t="s">
        <v>71</v>
      </c>
      <c r="D720" s="5" t="s">
        <v>1428</v>
      </c>
      <c r="E720" s="5" t="s">
        <v>1429</v>
      </c>
      <c r="F720" s="5"/>
      <c r="G720" s="5" t="str">
        <f aca="false">IF(EXACT(D720,E720),"Tetap","Diubah")</f>
        <v>Diubah</v>
      </c>
      <c r="H720" s="5" t="s">
        <v>23</v>
      </c>
    </row>
    <row r="721" customFormat="false" ht="15" hidden="false" customHeight="false" outlineLevel="0" collapsed="false">
      <c r="A721" s="5" t="n">
        <v>720</v>
      </c>
      <c r="B721" s="5" t="s">
        <v>308</v>
      </c>
      <c r="C721" s="5" t="s">
        <v>153</v>
      </c>
      <c r="D721" s="5" t="s">
        <v>1430</v>
      </c>
      <c r="E721" s="5" t="s">
        <v>1431</v>
      </c>
      <c r="F721" s="5"/>
      <c r="G721" s="5" t="str">
        <f aca="false">IF(EXACT(D721,E721),"Tetap","Diubah")</f>
        <v>Diubah</v>
      </c>
      <c r="H721" s="5" t="s">
        <v>23</v>
      </c>
    </row>
    <row r="722" customFormat="false" ht="15" hidden="false" customHeight="false" outlineLevel="0" collapsed="false">
      <c r="A722" s="5" t="n">
        <v>721</v>
      </c>
      <c r="B722" s="5" t="s">
        <v>308</v>
      </c>
      <c r="C722" s="5" t="s">
        <v>90</v>
      </c>
      <c r="D722" s="5" t="s">
        <v>1160</v>
      </c>
      <c r="E722" s="5" t="s">
        <v>1160</v>
      </c>
      <c r="F722" s="5" t="s">
        <v>28</v>
      </c>
      <c r="G722" s="5" t="str">
        <f aca="false">IF(EXACT(D722,E722),"Tetap","Diubah")</f>
        <v>Tetap</v>
      </c>
      <c r="H722" s="5" t="s">
        <v>23</v>
      </c>
    </row>
    <row r="723" customFormat="false" ht="15" hidden="false" customHeight="false" outlineLevel="0" collapsed="false">
      <c r="A723" s="5" t="n">
        <v>722</v>
      </c>
      <c r="B723" s="5" t="s">
        <v>308</v>
      </c>
      <c r="C723" s="5" t="s">
        <v>130</v>
      </c>
      <c r="D723" s="5" t="s">
        <v>1432</v>
      </c>
      <c r="E723" s="5" t="s">
        <v>1433</v>
      </c>
      <c r="F723" s="5"/>
      <c r="G723" s="5" t="str">
        <f aca="false">IF(EXACT(D723,E723),"Tetap","Diubah")</f>
        <v>Diubah</v>
      </c>
      <c r="H723" s="5" t="s">
        <v>23</v>
      </c>
    </row>
    <row r="724" customFormat="false" ht="15" hidden="false" customHeight="false" outlineLevel="0" collapsed="false">
      <c r="A724" s="5" t="n">
        <v>723</v>
      </c>
      <c r="B724" s="5" t="s">
        <v>308</v>
      </c>
      <c r="C724" s="5" t="s">
        <v>90</v>
      </c>
      <c r="D724" s="5" t="s">
        <v>1434</v>
      </c>
      <c r="E724" s="5" t="s">
        <v>1435</v>
      </c>
      <c r="F724" s="5"/>
      <c r="G724" s="5" t="str">
        <f aca="false">IF(EXACT(D724,E724),"Tetap","Diubah")</f>
        <v>Diubah</v>
      </c>
      <c r="H724" s="5" t="s">
        <v>23</v>
      </c>
    </row>
    <row r="725" customFormat="false" ht="23.85" hidden="false" customHeight="false" outlineLevel="0" collapsed="false">
      <c r="A725" s="5" t="n">
        <v>724</v>
      </c>
      <c r="B725" s="5" t="s">
        <v>308</v>
      </c>
      <c r="C725" s="5" t="s">
        <v>130</v>
      </c>
      <c r="D725" s="5" t="s">
        <v>1436</v>
      </c>
      <c r="E725" s="5" t="s">
        <v>1437</v>
      </c>
      <c r="F725" s="5"/>
      <c r="G725" s="5" t="str">
        <f aca="false">IF(EXACT(D725,E725),"Tetap","Diubah")</f>
        <v>Diubah</v>
      </c>
      <c r="H725" s="5" t="s">
        <v>23</v>
      </c>
    </row>
    <row r="726" customFormat="false" ht="15" hidden="false" customHeight="false" outlineLevel="0" collapsed="false">
      <c r="A726" s="5" t="n">
        <v>725</v>
      </c>
      <c r="B726" s="5" t="s">
        <v>308</v>
      </c>
      <c r="C726" s="5" t="s">
        <v>159</v>
      </c>
      <c r="D726" s="5" t="s">
        <v>1438</v>
      </c>
      <c r="E726" s="5" t="s">
        <v>1439</v>
      </c>
      <c r="F726" s="5"/>
      <c r="G726" s="5" t="str">
        <f aca="false">IF(EXACT(D726,E726),"Tetap","Diubah")</f>
        <v>Diubah</v>
      </c>
      <c r="H726" s="5" t="s">
        <v>23</v>
      </c>
    </row>
    <row r="727" customFormat="false" ht="15" hidden="false" customHeight="false" outlineLevel="0" collapsed="false">
      <c r="A727" s="5" t="n">
        <v>726</v>
      </c>
      <c r="B727" s="5" t="s">
        <v>308</v>
      </c>
      <c r="C727" s="5" t="s">
        <v>115</v>
      </c>
      <c r="D727" s="5" t="s">
        <v>1440</v>
      </c>
      <c r="E727" s="5" t="s">
        <v>1441</v>
      </c>
      <c r="F727" s="5"/>
      <c r="G727" s="5" t="str">
        <f aca="false">IF(EXACT(D727,E727),"Tetap","Diubah")</f>
        <v>Diubah</v>
      </c>
      <c r="H727" s="5" t="s">
        <v>23</v>
      </c>
    </row>
    <row r="728" customFormat="false" ht="15" hidden="false" customHeight="false" outlineLevel="0" collapsed="false">
      <c r="A728" s="5" t="n">
        <v>727</v>
      </c>
      <c r="B728" s="5" t="s">
        <v>308</v>
      </c>
      <c r="C728" s="5" t="s">
        <v>115</v>
      </c>
      <c r="D728" s="5" t="s">
        <v>1442</v>
      </c>
      <c r="E728" s="5" t="s">
        <v>1443</v>
      </c>
      <c r="F728" s="5"/>
      <c r="G728" s="5" t="str">
        <f aca="false">IF(EXACT(D728,E728),"Tetap","Diubah")</f>
        <v>Diubah</v>
      </c>
      <c r="H728" s="5" t="s">
        <v>23</v>
      </c>
    </row>
    <row r="729" customFormat="false" ht="15" hidden="false" customHeight="false" outlineLevel="0" collapsed="false">
      <c r="A729" s="5" t="n">
        <v>728</v>
      </c>
      <c r="B729" s="5" t="s">
        <v>308</v>
      </c>
      <c r="C729" s="5" t="s">
        <v>330</v>
      </c>
      <c r="D729" s="5" t="s">
        <v>1444</v>
      </c>
      <c r="E729" s="5" t="s">
        <v>1445</v>
      </c>
      <c r="F729" s="5"/>
      <c r="G729" s="5" t="str">
        <f aca="false">IF(EXACT(D729,E729),"Tetap","Diubah")</f>
        <v>Diubah</v>
      </c>
      <c r="H729" s="5" t="s">
        <v>23</v>
      </c>
    </row>
    <row r="730" customFormat="false" ht="15" hidden="false" customHeight="false" outlineLevel="0" collapsed="false">
      <c r="A730" s="5" t="n">
        <v>729</v>
      </c>
      <c r="B730" s="5" t="s">
        <v>308</v>
      </c>
      <c r="C730" s="5" t="s">
        <v>54</v>
      </c>
      <c r="D730" s="5" t="s">
        <v>1446</v>
      </c>
      <c r="E730" s="5" t="s">
        <v>1341</v>
      </c>
      <c r="F730" s="5" t="s">
        <v>1447</v>
      </c>
      <c r="G730" s="5" t="str">
        <f aca="false">IF(EXACT(D730,E730),"Tetap","Diubah")</f>
        <v>Diubah</v>
      </c>
      <c r="H730" s="5" t="s">
        <v>23</v>
      </c>
    </row>
    <row r="731" customFormat="false" ht="15" hidden="false" customHeight="false" outlineLevel="0" collapsed="false">
      <c r="A731" s="5" t="n">
        <v>730</v>
      </c>
      <c r="B731" s="5" t="s">
        <v>308</v>
      </c>
      <c r="C731" s="5" t="s">
        <v>54</v>
      </c>
      <c r="D731" s="5" t="s">
        <v>1448</v>
      </c>
      <c r="E731" s="5" t="s">
        <v>1449</v>
      </c>
      <c r="F731" s="5"/>
      <c r="G731" s="5" t="str">
        <f aca="false">IF(EXACT(D731,E731),"Tetap","Diubah")</f>
        <v>Diubah</v>
      </c>
      <c r="H731" s="5" t="s">
        <v>23</v>
      </c>
    </row>
    <row r="732" customFormat="false" ht="15" hidden="false" customHeight="false" outlineLevel="0" collapsed="false">
      <c r="A732" s="5" t="n">
        <v>731</v>
      </c>
      <c r="B732" s="5" t="s">
        <v>308</v>
      </c>
      <c r="C732" s="5" t="s">
        <v>54</v>
      </c>
      <c r="D732" s="5" t="s">
        <v>1450</v>
      </c>
      <c r="E732" s="5" t="s">
        <v>1451</v>
      </c>
      <c r="F732" s="5"/>
      <c r="G732" s="5" t="str">
        <f aca="false">IF(EXACT(D732,E732),"Tetap","Diubah")</f>
        <v>Diubah</v>
      </c>
      <c r="H732" s="5" t="s">
        <v>23</v>
      </c>
    </row>
    <row r="733" customFormat="false" ht="15" hidden="false" customHeight="false" outlineLevel="0" collapsed="false">
      <c r="A733" s="5" t="n">
        <v>732</v>
      </c>
      <c r="B733" s="5" t="s">
        <v>308</v>
      </c>
      <c r="C733" s="5" t="s">
        <v>20</v>
      </c>
      <c r="D733" s="5" t="s">
        <v>1452</v>
      </c>
      <c r="E733" s="5" t="s">
        <v>1453</v>
      </c>
      <c r="F733" s="5"/>
      <c r="G733" s="5" t="str">
        <f aca="false">IF(EXACT(D733,E733),"Tetap","Diubah")</f>
        <v>Diubah</v>
      </c>
      <c r="H733" s="5" t="s">
        <v>23</v>
      </c>
    </row>
    <row r="734" customFormat="false" ht="15" hidden="false" customHeight="false" outlineLevel="0" collapsed="false">
      <c r="A734" s="5" t="n">
        <v>733</v>
      </c>
      <c r="B734" s="5" t="s">
        <v>308</v>
      </c>
      <c r="C734" s="5" t="s">
        <v>54</v>
      </c>
      <c r="D734" s="5" t="s">
        <v>1454</v>
      </c>
      <c r="E734" s="5" t="s">
        <v>1455</v>
      </c>
      <c r="F734" s="5"/>
      <c r="G734" s="5" t="str">
        <f aca="false">IF(EXACT(D734,E734),"Tetap","Diubah")</f>
        <v>Diubah</v>
      </c>
      <c r="H734" s="5" t="s">
        <v>23</v>
      </c>
    </row>
    <row r="735" customFormat="false" ht="15" hidden="false" customHeight="false" outlineLevel="0" collapsed="false">
      <c r="A735" s="5" t="n">
        <v>734</v>
      </c>
      <c r="B735" s="5" t="s">
        <v>308</v>
      </c>
      <c r="C735" s="5" t="s">
        <v>71</v>
      </c>
      <c r="D735" s="5" t="s">
        <v>1456</v>
      </c>
      <c r="E735" s="5" t="s">
        <v>1457</v>
      </c>
      <c r="F735" s="5"/>
      <c r="G735" s="5" t="str">
        <f aca="false">IF(EXACT(D735,E735),"Tetap","Diubah")</f>
        <v>Diubah</v>
      </c>
      <c r="H735" s="5" t="s">
        <v>23</v>
      </c>
    </row>
    <row r="736" customFormat="false" ht="15" hidden="false" customHeight="false" outlineLevel="0" collapsed="false">
      <c r="A736" s="5" t="n">
        <v>735</v>
      </c>
      <c r="B736" s="5" t="s">
        <v>308</v>
      </c>
      <c r="C736" s="5" t="s">
        <v>60</v>
      </c>
      <c r="D736" s="5" t="s">
        <v>1458</v>
      </c>
      <c r="E736" s="5" t="s">
        <v>1449</v>
      </c>
      <c r="F736" s="5"/>
      <c r="G736" s="5" t="str">
        <f aca="false">IF(EXACT(D736,E736),"Tetap","Diubah")</f>
        <v>Diubah</v>
      </c>
      <c r="H736" s="5" t="s">
        <v>23</v>
      </c>
    </row>
    <row r="737" customFormat="false" ht="15" hidden="false" customHeight="false" outlineLevel="0" collapsed="false">
      <c r="A737" s="5" t="n">
        <v>736</v>
      </c>
      <c r="B737" s="5" t="s">
        <v>308</v>
      </c>
      <c r="C737" s="5" t="s">
        <v>60</v>
      </c>
      <c r="D737" s="5" t="s">
        <v>1459</v>
      </c>
      <c r="E737" s="5" t="s">
        <v>1451</v>
      </c>
      <c r="F737" s="5"/>
      <c r="G737" s="5" t="str">
        <f aca="false">IF(EXACT(D737,E737),"Tetap","Diubah")</f>
        <v>Diubah</v>
      </c>
      <c r="H737" s="5" t="s">
        <v>23</v>
      </c>
    </row>
    <row r="738" customFormat="false" ht="15" hidden="false" customHeight="false" outlineLevel="0" collapsed="false">
      <c r="A738" s="5" t="n">
        <v>737</v>
      </c>
      <c r="B738" s="5" t="s">
        <v>308</v>
      </c>
      <c r="C738" s="5" t="s">
        <v>60</v>
      </c>
      <c r="D738" s="5" t="s">
        <v>1460</v>
      </c>
      <c r="E738" s="5" t="s">
        <v>1461</v>
      </c>
      <c r="F738" s="5"/>
      <c r="G738" s="5" t="str">
        <f aca="false">IF(EXACT(D738,E738),"Tetap","Diubah")</f>
        <v>Diubah</v>
      </c>
      <c r="H738" s="5" t="s">
        <v>23</v>
      </c>
    </row>
    <row r="739" customFormat="false" ht="15" hidden="false" customHeight="false" outlineLevel="0" collapsed="false">
      <c r="A739" s="5" t="n">
        <v>738</v>
      </c>
      <c r="B739" s="5" t="s">
        <v>308</v>
      </c>
      <c r="C739" s="5" t="s">
        <v>330</v>
      </c>
      <c r="D739" s="5" t="s">
        <v>1462</v>
      </c>
      <c r="E739" s="5" t="s">
        <v>1463</v>
      </c>
      <c r="F739" s="5"/>
      <c r="G739" s="5" t="str">
        <f aca="false">IF(EXACT(D739,E739),"Tetap","Diubah")</f>
        <v>Diubah</v>
      </c>
      <c r="H739" s="5" t="s">
        <v>23</v>
      </c>
    </row>
    <row r="740" customFormat="false" ht="15" hidden="false" customHeight="false" outlineLevel="0" collapsed="false">
      <c r="A740" s="5" t="n">
        <v>739</v>
      </c>
      <c r="B740" s="5" t="s">
        <v>308</v>
      </c>
      <c r="C740" s="5" t="s">
        <v>60</v>
      </c>
      <c r="D740" s="5" t="s">
        <v>1464</v>
      </c>
      <c r="E740" s="5" t="s">
        <v>1465</v>
      </c>
      <c r="F740" s="5"/>
      <c r="G740" s="5" t="str">
        <f aca="false">IF(EXACT(D740,E740),"Tetap","Diubah")</f>
        <v>Diubah</v>
      </c>
      <c r="H740" s="5" t="s">
        <v>23</v>
      </c>
    </row>
    <row r="741" customFormat="false" ht="15" hidden="false" customHeight="false" outlineLevel="0" collapsed="false">
      <c r="A741" s="5" t="n">
        <v>740</v>
      </c>
      <c r="B741" s="5" t="s">
        <v>308</v>
      </c>
      <c r="C741" s="5" t="s">
        <v>60</v>
      </c>
      <c r="D741" s="5" t="s">
        <v>1466</v>
      </c>
      <c r="E741" s="5" t="s">
        <v>1467</v>
      </c>
      <c r="F741" s="5"/>
      <c r="G741" s="5" t="str">
        <f aca="false">IF(EXACT(D741,E741),"Tetap","Diubah")</f>
        <v>Diubah</v>
      </c>
      <c r="H741" s="5" t="s">
        <v>23</v>
      </c>
    </row>
    <row r="742" customFormat="false" ht="15" hidden="false" customHeight="false" outlineLevel="0" collapsed="false">
      <c r="A742" s="5" t="n">
        <v>741</v>
      </c>
      <c r="B742" s="5" t="s">
        <v>308</v>
      </c>
      <c r="C742" s="5" t="s">
        <v>60</v>
      </c>
      <c r="D742" s="5" t="s">
        <v>1468</v>
      </c>
      <c r="E742" s="5" t="s">
        <v>1461</v>
      </c>
      <c r="F742" s="5"/>
      <c r="G742" s="5" t="str">
        <f aca="false">IF(EXACT(D742,E742),"Tetap","Diubah")</f>
        <v>Diubah</v>
      </c>
      <c r="H742" s="5" t="s">
        <v>23</v>
      </c>
    </row>
    <row r="743" customFormat="false" ht="15" hidden="false" customHeight="false" outlineLevel="0" collapsed="false">
      <c r="A743" s="5" t="n">
        <v>742</v>
      </c>
      <c r="B743" s="5" t="s">
        <v>308</v>
      </c>
      <c r="C743" s="5" t="s">
        <v>330</v>
      </c>
      <c r="D743" s="5" t="s">
        <v>1469</v>
      </c>
      <c r="E743" s="5" t="s">
        <v>1470</v>
      </c>
      <c r="F743" s="5"/>
      <c r="G743" s="5" t="str">
        <f aca="false">IF(EXACT(D743,E743),"Tetap","Diubah")</f>
        <v>Diubah</v>
      </c>
      <c r="H743" s="5" t="s">
        <v>23</v>
      </c>
    </row>
    <row r="744" customFormat="false" ht="15" hidden="false" customHeight="false" outlineLevel="0" collapsed="false">
      <c r="A744" s="5" t="n">
        <v>743</v>
      </c>
      <c r="B744" s="5" t="s">
        <v>308</v>
      </c>
      <c r="C744" s="5" t="s">
        <v>54</v>
      </c>
      <c r="D744" s="5" t="s">
        <v>1471</v>
      </c>
      <c r="E744" s="5" t="s">
        <v>1472</v>
      </c>
      <c r="F744" s="5"/>
      <c r="G744" s="5" t="str">
        <f aca="false">IF(EXACT(D744,E744),"Tetap","Diubah")</f>
        <v>Diubah</v>
      </c>
      <c r="H744" s="5" t="s">
        <v>23</v>
      </c>
    </row>
    <row r="745" customFormat="false" ht="15" hidden="false" customHeight="false" outlineLevel="0" collapsed="false">
      <c r="A745" s="5" t="n">
        <v>744</v>
      </c>
      <c r="B745" s="5" t="s">
        <v>308</v>
      </c>
      <c r="C745" s="5" t="s">
        <v>100</v>
      </c>
      <c r="D745" s="5" t="s">
        <v>1473</v>
      </c>
      <c r="E745" s="5" t="s">
        <v>1079</v>
      </c>
      <c r="F745" s="5"/>
      <c r="G745" s="5" t="str">
        <f aca="false">IF(EXACT(D745,E745),"Tetap","Diubah")</f>
        <v>Diubah</v>
      </c>
      <c r="H745" s="5" t="s">
        <v>23</v>
      </c>
    </row>
    <row r="746" customFormat="false" ht="15" hidden="false" customHeight="false" outlineLevel="0" collapsed="false">
      <c r="A746" s="5" t="n">
        <v>745</v>
      </c>
      <c r="B746" s="5" t="s">
        <v>308</v>
      </c>
      <c r="C746" s="5" t="s">
        <v>54</v>
      </c>
      <c r="D746" s="5" t="s">
        <v>1474</v>
      </c>
      <c r="E746" s="5" t="s">
        <v>1475</v>
      </c>
      <c r="F746" s="5"/>
      <c r="G746" s="5" t="str">
        <f aca="false">IF(EXACT(D746,E746),"Tetap","Diubah")</f>
        <v>Diubah</v>
      </c>
      <c r="H746" s="5" t="s">
        <v>23</v>
      </c>
    </row>
    <row r="747" customFormat="false" ht="15" hidden="false" customHeight="false" outlineLevel="0" collapsed="false">
      <c r="A747" s="5" t="n">
        <v>746</v>
      </c>
      <c r="B747" s="5" t="s">
        <v>308</v>
      </c>
      <c r="C747" s="5" t="s">
        <v>20</v>
      </c>
      <c r="D747" s="5" t="s">
        <v>1476</v>
      </c>
      <c r="E747" s="5" t="s">
        <v>1477</v>
      </c>
      <c r="F747" s="5"/>
      <c r="G747" s="5" t="str">
        <f aca="false">IF(EXACT(D747,E747),"Tetap","Diubah")</f>
        <v>Diubah</v>
      </c>
      <c r="H747" s="5" t="s">
        <v>23</v>
      </c>
    </row>
    <row r="748" customFormat="false" ht="15" hidden="false" customHeight="false" outlineLevel="0" collapsed="false">
      <c r="A748" s="5" t="n">
        <v>747</v>
      </c>
      <c r="B748" s="5" t="s">
        <v>308</v>
      </c>
      <c r="C748" s="5" t="s">
        <v>54</v>
      </c>
      <c r="D748" s="5" t="s">
        <v>1478</v>
      </c>
      <c r="E748" s="5" t="s">
        <v>1479</v>
      </c>
      <c r="F748" s="5"/>
      <c r="G748" s="5" t="str">
        <f aca="false">IF(EXACT(D748,E748),"Tetap","Diubah")</f>
        <v>Diubah</v>
      </c>
      <c r="H748" s="5" t="s">
        <v>23</v>
      </c>
    </row>
    <row r="749" customFormat="false" ht="15" hidden="false" customHeight="false" outlineLevel="0" collapsed="false">
      <c r="A749" s="5" t="n">
        <v>748</v>
      </c>
      <c r="B749" s="5" t="s">
        <v>308</v>
      </c>
      <c r="C749" s="5" t="s">
        <v>71</v>
      </c>
      <c r="D749" s="5" t="s">
        <v>1480</v>
      </c>
      <c r="E749" s="5" t="s">
        <v>1481</v>
      </c>
      <c r="F749" s="5"/>
      <c r="G749" s="5" t="str">
        <f aca="false">IF(EXACT(D749,E749),"Tetap","Diubah")</f>
        <v>Diubah</v>
      </c>
      <c r="H749" s="5" t="s">
        <v>23</v>
      </c>
    </row>
    <row r="750" customFormat="false" ht="15" hidden="false" customHeight="false" outlineLevel="0" collapsed="false">
      <c r="A750" s="5" t="n">
        <v>749</v>
      </c>
      <c r="B750" s="5" t="s">
        <v>308</v>
      </c>
      <c r="C750" s="5" t="s">
        <v>60</v>
      </c>
      <c r="D750" s="5" t="s">
        <v>1482</v>
      </c>
      <c r="E750" s="5" t="s">
        <v>1483</v>
      </c>
      <c r="F750" s="5"/>
      <c r="G750" s="5" t="str">
        <f aca="false">IF(EXACT(D750,E750),"Tetap","Diubah")</f>
        <v>Diubah</v>
      </c>
      <c r="H750" s="5" t="s">
        <v>23</v>
      </c>
    </row>
    <row r="751" customFormat="false" ht="15" hidden="false" customHeight="false" outlineLevel="0" collapsed="false">
      <c r="A751" s="5" t="n">
        <v>750</v>
      </c>
      <c r="B751" s="5" t="s">
        <v>308</v>
      </c>
      <c r="C751" s="5" t="s">
        <v>60</v>
      </c>
      <c r="D751" s="5" t="s">
        <v>1484</v>
      </c>
      <c r="E751" s="5" t="s">
        <v>1485</v>
      </c>
      <c r="F751" s="5"/>
      <c r="G751" s="5" t="str">
        <f aca="false">IF(EXACT(D751,E751),"Tetap","Diubah")</f>
        <v>Diubah</v>
      </c>
      <c r="H751" s="5" t="s">
        <v>23</v>
      </c>
    </row>
    <row r="752" customFormat="false" ht="15" hidden="false" customHeight="false" outlineLevel="0" collapsed="false">
      <c r="A752" s="5" t="n">
        <v>751</v>
      </c>
      <c r="B752" s="5" t="s">
        <v>308</v>
      </c>
      <c r="C752" s="5" t="s">
        <v>60</v>
      </c>
      <c r="D752" s="5" t="s">
        <v>1486</v>
      </c>
      <c r="E752" s="5" t="s">
        <v>1487</v>
      </c>
      <c r="F752" s="5"/>
      <c r="G752" s="5" t="str">
        <f aca="false">IF(EXACT(D752,E752),"Tetap","Diubah")</f>
        <v>Diubah</v>
      </c>
      <c r="H752" s="5" t="s">
        <v>23</v>
      </c>
    </row>
    <row r="753" customFormat="false" ht="15" hidden="false" customHeight="false" outlineLevel="0" collapsed="false">
      <c r="A753" s="5" t="n">
        <v>752</v>
      </c>
      <c r="B753" s="5" t="s">
        <v>308</v>
      </c>
      <c r="C753" s="5" t="s">
        <v>159</v>
      </c>
      <c r="D753" s="5" t="s">
        <v>1488</v>
      </c>
      <c r="E753" s="5" t="s">
        <v>1140</v>
      </c>
      <c r="F753" s="5"/>
      <c r="G753" s="5" t="str">
        <f aca="false">IF(EXACT(D753,E753),"Tetap","Diubah")</f>
        <v>Diubah</v>
      </c>
      <c r="H753" s="5" t="s">
        <v>23</v>
      </c>
    </row>
    <row r="754" customFormat="false" ht="15" hidden="false" customHeight="false" outlineLevel="0" collapsed="false">
      <c r="A754" s="5" t="n">
        <v>753</v>
      </c>
      <c r="B754" s="5" t="s">
        <v>308</v>
      </c>
      <c r="C754" s="5" t="s">
        <v>115</v>
      </c>
      <c r="D754" s="5" t="s">
        <v>1489</v>
      </c>
      <c r="E754" s="5" t="s">
        <v>1489</v>
      </c>
      <c r="F754" s="5" t="s">
        <v>28</v>
      </c>
      <c r="G754" s="5" t="str">
        <f aca="false">IF(EXACT(D754,E754),"Tetap","Diubah")</f>
        <v>Tetap</v>
      </c>
      <c r="H754" s="5" t="s">
        <v>23</v>
      </c>
    </row>
    <row r="755" customFormat="false" ht="15" hidden="false" customHeight="false" outlineLevel="0" collapsed="false">
      <c r="A755" s="5" t="n">
        <v>754</v>
      </c>
      <c r="B755" s="5" t="s">
        <v>308</v>
      </c>
      <c r="C755" s="5" t="s">
        <v>20</v>
      </c>
      <c r="D755" s="5" t="s">
        <v>1490</v>
      </c>
      <c r="E755" s="5" t="s">
        <v>1491</v>
      </c>
      <c r="F755" s="5"/>
      <c r="G755" s="5" t="str">
        <f aca="false">IF(EXACT(D755,E755),"Tetap","Diubah")</f>
        <v>Diubah</v>
      </c>
      <c r="H755" s="5" t="s">
        <v>23</v>
      </c>
    </row>
    <row r="756" customFormat="false" ht="15" hidden="false" customHeight="false" outlineLevel="0" collapsed="false">
      <c r="A756" s="5" t="n">
        <v>755</v>
      </c>
      <c r="B756" s="5" t="s">
        <v>308</v>
      </c>
      <c r="C756" s="5" t="s">
        <v>54</v>
      </c>
      <c r="D756" s="5" t="s">
        <v>1492</v>
      </c>
      <c r="E756" s="5" t="s">
        <v>1492</v>
      </c>
      <c r="F756" s="5" t="s">
        <v>28</v>
      </c>
      <c r="G756" s="5" t="str">
        <f aca="false">IF(EXACT(D756,E756),"Tetap","Diubah")</f>
        <v>Tetap</v>
      </c>
      <c r="H756" s="5" t="s">
        <v>23</v>
      </c>
    </row>
    <row r="757" customFormat="false" ht="15" hidden="false" customHeight="false" outlineLevel="0" collapsed="false">
      <c r="A757" s="5" t="n">
        <v>756</v>
      </c>
      <c r="B757" s="5" t="s">
        <v>308</v>
      </c>
      <c r="C757" s="5" t="s">
        <v>90</v>
      </c>
      <c r="D757" s="5" t="s">
        <v>1493</v>
      </c>
      <c r="E757" s="5" t="s">
        <v>1493</v>
      </c>
      <c r="F757" s="5" t="s">
        <v>28</v>
      </c>
      <c r="G757" s="5" t="str">
        <f aca="false">IF(EXACT(D757,E757),"Tetap","Diubah")</f>
        <v>Tetap</v>
      </c>
      <c r="H757" s="5" t="s">
        <v>23</v>
      </c>
    </row>
    <row r="758" customFormat="false" ht="15" hidden="false" customHeight="false" outlineLevel="0" collapsed="false">
      <c r="A758" s="5" t="n">
        <v>757</v>
      </c>
      <c r="B758" s="5" t="s">
        <v>308</v>
      </c>
      <c r="C758" s="5" t="s">
        <v>130</v>
      </c>
      <c r="D758" s="5" t="s">
        <v>1494</v>
      </c>
      <c r="E758" s="5" t="s">
        <v>1495</v>
      </c>
      <c r="F758" s="5"/>
      <c r="G758" s="5" t="str">
        <f aca="false">IF(EXACT(D758,E758),"Tetap","Diubah")</f>
        <v>Diubah</v>
      </c>
      <c r="H758" s="5" t="s">
        <v>23</v>
      </c>
    </row>
    <row r="759" customFormat="false" ht="57.45" hidden="false" customHeight="false" outlineLevel="0" collapsed="false">
      <c r="A759" s="5" t="n">
        <v>758</v>
      </c>
      <c r="B759" s="5" t="s">
        <v>308</v>
      </c>
      <c r="C759" s="5" t="s">
        <v>130</v>
      </c>
      <c r="D759" s="5" t="s">
        <v>1496</v>
      </c>
      <c r="E759" s="5" t="s">
        <v>1497</v>
      </c>
      <c r="F759" s="5" t="s">
        <v>1498</v>
      </c>
      <c r="G759" s="5" t="str">
        <f aca="false">IF(EXACT(D759,E759),"Tetap","Diubah")</f>
        <v>Diubah</v>
      </c>
      <c r="H759" s="5" t="s">
        <v>23</v>
      </c>
    </row>
    <row r="760" customFormat="false" ht="15" hidden="false" customHeight="false" outlineLevel="0" collapsed="false">
      <c r="A760" s="5" t="n">
        <v>759</v>
      </c>
      <c r="B760" s="5" t="s">
        <v>308</v>
      </c>
      <c r="C760" s="5" t="s">
        <v>330</v>
      </c>
      <c r="D760" s="5" t="s">
        <v>1499</v>
      </c>
      <c r="E760" s="5" t="s">
        <v>1500</v>
      </c>
      <c r="F760" s="5"/>
      <c r="G760" s="5" t="str">
        <f aca="false">IF(EXACT(D760,E760),"Tetap","Diubah")</f>
        <v>Diubah</v>
      </c>
      <c r="H760" s="5" t="s">
        <v>23</v>
      </c>
    </row>
    <row r="761" customFormat="false" ht="15" hidden="false" customHeight="false" outlineLevel="0" collapsed="false">
      <c r="A761" s="5" t="n">
        <v>760</v>
      </c>
      <c r="B761" s="5" t="s">
        <v>308</v>
      </c>
      <c r="C761" s="5" t="s">
        <v>20</v>
      </c>
      <c r="D761" s="5" t="s">
        <v>1501</v>
      </c>
      <c r="E761" s="5" t="s">
        <v>1502</v>
      </c>
      <c r="F761" s="5"/>
      <c r="G761" s="5" t="str">
        <f aca="false">IF(EXACT(D761,E761),"Tetap","Diubah")</f>
        <v>Diubah</v>
      </c>
      <c r="H761" s="5" t="s">
        <v>23</v>
      </c>
    </row>
    <row r="762" customFormat="false" ht="15" hidden="false" customHeight="false" outlineLevel="0" collapsed="false">
      <c r="A762" s="5" t="n">
        <v>761</v>
      </c>
      <c r="B762" s="5" t="s">
        <v>308</v>
      </c>
      <c r="C762" s="5" t="s">
        <v>20</v>
      </c>
      <c r="D762" s="5" t="s">
        <v>485</v>
      </c>
      <c r="E762" s="5" t="s">
        <v>485</v>
      </c>
      <c r="F762" s="5" t="s">
        <v>28</v>
      </c>
      <c r="G762" s="5" t="str">
        <f aca="false">IF(EXACT(D762,E762),"Tetap","Diubah")</f>
        <v>Tetap</v>
      </c>
      <c r="H762" s="5" t="s">
        <v>23</v>
      </c>
    </row>
    <row r="763" customFormat="false" ht="15" hidden="false" customHeight="false" outlineLevel="0" collapsed="false">
      <c r="A763" s="5" t="n">
        <v>762</v>
      </c>
      <c r="B763" s="5" t="s">
        <v>308</v>
      </c>
      <c r="C763" s="5" t="s">
        <v>330</v>
      </c>
      <c r="D763" s="5" t="s">
        <v>1503</v>
      </c>
      <c r="E763" s="5" t="s">
        <v>1504</v>
      </c>
      <c r="F763" s="5"/>
      <c r="G763" s="5" t="str">
        <f aca="false">IF(EXACT(D763,E763),"Tetap","Diubah")</f>
        <v>Diubah</v>
      </c>
      <c r="H763" s="5" t="s">
        <v>23</v>
      </c>
    </row>
    <row r="764" customFormat="false" ht="15" hidden="false" customHeight="false" outlineLevel="0" collapsed="false">
      <c r="A764" s="5" t="n">
        <v>763</v>
      </c>
      <c r="B764" s="5" t="s">
        <v>308</v>
      </c>
      <c r="C764" s="5" t="s">
        <v>54</v>
      </c>
      <c r="D764" s="5" t="s">
        <v>1505</v>
      </c>
      <c r="E764" s="5" t="s">
        <v>1506</v>
      </c>
      <c r="F764" s="5"/>
      <c r="G764" s="5" t="str">
        <f aca="false">IF(EXACT(D764,E764),"Tetap","Diubah")</f>
        <v>Diubah</v>
      </c>
      <c r="H764" s="5" t="s">
        <v>23</v>
      </c>
    </row>
    <row r="765" customFormat="false" ht="15" hidden="false" customHeight="false" outlineLevel="0" collapsed="false">
      <c r="A765" s="5" t="n">
        <v>764</v>
      </c>
      <c r="B765" s="5" t="s">
        <v>308</v>
      </c>
      <c r="C765" s="5" t="s">
        <v>54</v>
      </c>
      <c r="D765" s="5" t="s">
        <v>1507</v>
      </c>
      <c r="E765" s="5" t="s">
        <v>1508</v>
      </c>
      <c r="F765" s="5"/>
      <c r="G765" s="5" t="str">
        <f aca="false">IF(EXACT(D765,E765),"Tetap","Diubah")</f>
        <v>Diubah</v>
      </c>
      <c r="H765" s="5" t="s">
        <v>23</v>
      </c>
    </row>
    <row r="766" customFormat="false" ht="15" hidden="false" customHeight="false" outlineLevel="0" collapsed="false">
      <c r="A766" s="5" t="n">
        <v>765</v>
      </c>
      <c r="B766" s="5" t="s">
        <v>308</v>
      </c>
      <c r="C766" s="5" t="s">
        <v>54</v>
      </c>
      <c r="D766" s="5" t="s">
        <v>1509</v>
      </c>
      <c r="E766" s="5" t="s">
        <v>1172</v>
      </c>
      <c r="F766" s="5"/>
      <c r="G766" s="5" t="str">
        <f aca="false">IF(EXACT(D766,E766),"Tetap","Diubah")</f>
        <v>Diubah</v>
      </c>
      <c r="H766" s="5" t="s">
        <v>23</v>
      </c>
    </row>
    <row r="767" customFormat="false" ht="15" hidden="false" customHeight="false" outlineLevel="0" collapsed="false">
      <c r="A767" s="5" t="n">
        <v>766</v>
      </c>
      <c r="B767" s="5" t="s">
        <v>308</v>
      </c>
      <c r="C767" s="5" t="s">
        <v>54</v>
      </c>
      <c r="D767" s="5" t="s">
        <v>1510</v>
      </c>
      <c r="E767" s="5" t="s">
        <v>1511</v>
      </c>
      <c r="F767" s="5"/>
      <c r="G767" s="5" t="str">
        <f aca="false">IF(EXACT(D767,E767),"Tetap","Diubah")</f>
        <v>Diubah</v>
      </c>
      <c r="H767" s="5" t="s">
        <v>23</v>
      </c>
    </row>
    <row r="768" customFormat="false" ht="15" hidden="false" customHeight="false" outlineLevel="0" collapsed="false">
      <c r="A768" s="5" t="n">
        <v>767</v>
      </c>
      <c r="B768" s="5" t="s">
        <v>308</v>
      </c>
      <c r="C768" s="5" t="s">
        <v>54</v>
      </c>
      <c r="D768" s="5" t="s">
        <v>1512</v>
      </c>
      <c r="E768" s="5" t="s">
        <v>1513</v>
      </c>
      <c r="F768" s="5"/>
      <c r="G768" s="5" t="str">
        <f aca="false">IF(EXACT(D768,E768),"Tetap","Diubah")</f>
        <v>Diubah</v>
      </c>
      <c r="H768" s="5" t="s">
        <v>23</v>
      </c>
    </row>
    <row r="769" customFormat="false" ht="15" hidden="false" customHeight="false" outlineLevel="0" collapsed="false">
      <c r="A769" s="5" t="n">
        <v>768</v>
      </c>
      <c r="B769" s="5" t="s">
        <v>308</v>
      </c>
      <c r="C769" s="5" t="s">
        <v>54</v>
      </c>
      <c r="D769" s="5" t="s">
        <v>1514</v>
      </c>
      <c r="E769" s="5" t="s">
        <v>1515</v>
      </c>
      <c r="F769" s="5"/>
      <c r="G769" s="5" t="str">
        <f aca="false">IF(EXACT(D769,E769),"Tetap","Diubah")</f>
        <v>Diubah</v>
      </c>
      <c r="H769" s="5" t="s">
        <v>23</v>
      </c>
    </row>
    <row r="770" customFormat="false" ht="15" hidden="false" customHeight="false" outlineLevel="0" collapsed="false">
      <c r="A770" s="5" t="n">
        <v>769</v>
      </c>
      <c r="B770" s="5" t="s">
        <v>308</v>
      </c>
      <c r="C770" s="5" t="s">
        <v>20</v>
      </c>
      <c r="D770" s="5" t="s">
        <v>1516</v>
      </c>
      <c r="E770" s="5" t="s">
        <v>1517</v>
      </c>
      <c r="F770" s="5"/>
      <c r="G770" s="5" t="str">
        <f aca="false">IF(EXACT(D770,E770),"Tetap","Diubah")</f>
        <v>Diubah</v>
      </c>
      <c r="H770" s="5" t="s">
        <v>23</v>
      </c>
    </row>
    <row r="771" customFormat="false" ht="15" hidden="false" customHeight="false" outlineLevel="0" collapsed="false">
      <c r="A771" s="5" t="n">
        <v>770</v>
      </c>
      <c r="B771" s="5" t="s">
        <v>308</v>
      </c>
      <c r="C771" s="5" t="s">
        <v>330</v>
      </c>
      <c r="D771" s="5" t="s">
        <v>1518</v>
      </c>
      <c r="E771" s="5" t="s">
        <v>1519</v>
      </c>
      <c r="F771" s="5"/>
      <c r="G771" s="5" t="str">
        <f aca="false">IF(EXACT(D771,E771),"Tetap","Diubah")</f>
        <v>Diubah</v>
      </c>
      <c r="H771" s="5" t="s">
        <v>23</v>
      </c>
    </row>
    <row r="772" customFormat="false" ht="15" hidden="false" customHeight="false" outlineLevel="0" collapsed="false">
      <c r="A772" s="5" t="n">
        <v>771</v>
      </c>
      <c r="B772" s="5" t="s">
        <v>308</v>
      </c>
      <c r="C772" s="5" t="s">
        <v>17</v>
      </c>
      <c r="D772" s="5" t="s">
        <v>1520</v>
      </c>
      <c r="E772" s="5" t="s">
        <v>1520</v>
      </c>
      <c r="F772" s="5" t="s">
        <v>28</v>
      </c>
      <c r="G772" s="5" t="str">
        <f aca="false">IF(EXACT(D772,E772),"Tetap","Diubah")</f>
        <v>Tetap</v>
      </c>
      <c r="H772" s="5" t="s">
        <v>23</v>
      </c>
    </row>
    <row r="773" customFormat="false" ht="23.85" hidden="false" customHeight="false" outlineLevel="0" collapsed="false">
      <c r="A773" s="5" t="n">
        <v>772</v>
      </c>
      <c r="B773" s="5" t="s">
        <v>308</v>
      </c>
      <c r="C773" s="5" t="s">
        <v>71</v>
      </c>
      <c r="D773" s="5" t="s">
        <v>1521</v>
      </c>
      <c r="E773" s="5" t="s">
        <v>1522</v>
      </c>
      <c r="F773" s="5"/>
      <c r="G773" s="5" t="str">
        <f aca="false">IF(EXACT(D773,E773),"Tetap","Diubah")</f>
        <v>Diubah</v>
      </c>
      <c r="H773" s="5" t="s">
        <v>23</v>
      </c>
    </row>
    <row r="774" customFormat="false" ht="15" hidden="false" customHeight="false" outlineLevel="0" collapsed="false">
      <c r="A774" s="5" t="n">
        <v>773</v>
      </c>
      <c r="B774" s="5" t="s">
        <v>308</v>
      </c>
      <c r="C774" s="5" t="s">
        <v>159</v>
      </c>
      <c r="D774" s="5" t="s">
        <v>1149</v>
      </c>
      <c r="E774" s="5" t="s">
        <v>1150</v>
      </c>
      <c r="F774" s="5"/>
      <c r="G774" s="5" t="str">
        <f aca="false">IF(EXACT(D774,E774),"Tetap","Diubah")</f>
        <v>Diubah</v>
      </c>
      <c r="H774" s="5" t="s">
        <v>23</v>
      </c>
    </row>
    <row r="775" customFormat="false" ht="15" hidden="false" customHeight="false" outlineLevel="0" collapsed="false">
      <c r="A775" s="5" t="n">
        <v>774</v>
      </c>
      <c r="B775" s="5" t="s">
        <v>308</v>
      </c>
      <c r="C775" s="5" t="s">
        <v>115</v>
      </c>
      <c r="D775" s="5" t="s">
        <v>1523</v>
      </c>
      <c r="E775" s="5" t="s">
        <v>1524</v>
      </c>
      <c r="F775" s="5"/>
      <c r="G775" s="5" t="str">
        <f aca="false">IF(EXACT(D775,E775),"Tetap","Diubah")</f>
        <v>Diubah</v>
      </c>
      <c r="H775" s="5" t="s">
        <v>23</v>
      </c>
    </row>
    <row r="776" customFormat="false" ht="15" hidden="false" customHeight="false" outlineLevel="0" collapsed="false">
      <c r="A776" s="5" t="n">
        <v>775</v>
      </c>
      <c r="B776" s="5" t="s">
        <v>308</v>
      </c>
      <c r="C776" s="5" t="s">
        <v>115</v>
      </c>
      <c r="D776" s="5" t="s">
        <v>1525</v>
      </c>
      <c r="E776" s="5" t="s">
        <v>1526</v>
      </c>
      <c r="F776" s="5"/>
      <c r="G776" s="5" t="str">
        <f aca="false">IF(EXACT(D776,E776),"Tetap","Diubah")</f>
        <v>Diubah</v>
      </c>
      <c r="H776" s="5" t="s">
        <v>23</v>
      </c>
    </row>
    <row r="777" customFormat="false" ht="15" hidden="false" customHeight="false" outlineLevel="0" collapsed="false">
      <c r="A777" s="5" t="n">
        <v>776</v>
      </c>
      <c r="B777" s="5" t="s">
        <v>308</v>
      </c>
      <c r="C777" s="5" t="s">
        <v>115</v>
      </c>
      <c r="D777" s="5" t="s">
        <v>1527</v>
      </c>
      <c r="E777" s="5" t="s">
        <v>1528</v>
      </c>
      <c r="F777" s="5" t="s">
        <v>1529</v>
      </c>
      <c r="G777" s="5" t="str">
        <f aca="false">IF(EXACT(D777,E777),"Tetap","Diubah")</f>
        <v>Diubah</v>
      </c>
      <c r="H777" s="5" t="s">
        <v>23</v>
      </c>
    </row>
    <row r="778" customFormat="false" ht="15" hidden="false" customHeight="false" outlineLevel="0" collapsed="false">
      <c r="A778" s="5" t="n">
        <v>777</v>
      </c>
      <c r="B778" s="5" t="s">
        <v>308</v>
      </c>
      <c r="C778" s="5" t="s">
        <v>115</v>
      </c>
      <c r="D778" s="5" t="s">
        <v>1530</v>
      </c>
      <c r="E778" s="5" t="s">
        <v>1531</v>
      </c>
      <c r="F778" s="5" t="s">
        <v>1529</v>
      </c>
      <c r="G778" s="5" t="str">
        <f aca="false">IF(EXACT(D778,E778),"Tetap","Diubah")</f>
        <v>Diubah</v>
      </c>
      <c r="H778" s="5" t="s">
        <v>23</v>
      </c>
    </row>
    <row r="779" customFormat="false" ht="15" hidden="false" customHeight="false" outlineLevel="0" collapsed="false">
      <c r="A779" s="5" t="n">
        <v>778</v>
      </c>
      <c r="B779" s="5" t="s">
        <v>308</v>
      </c>
      <c r="C779" s="5" t="s">
        <v>115</v>
      </c>
      <c r="D779" s="5" t="s">
        <v>1532</v>
      </c>
      <c r="E779" s="5" t="s">
        <v>1533</v>
      </c>
      <c r="F779" s="5"/>
      <c r="G779" s="5" t="str">
        <f aca="false">IF(EXACT(D779,E779),"Tetap","Diubah")</f>
        <v>Diubah</v>
      </c>
      <c r="H779" s="5" t="s">
        <v>23</v>
      </c>
    </row>
    <row r="780" customFormat="false" ht="15" hidden="false" customHeight="false" outlineLevel="0" collapsed="false">
      <c r="A780" s="5" t="n">
        <v>779</v>
      </c>
      <c r="B780" s="5" t="s">
        <v>308</v>
      </c>
      <c r="C780" s="5" t="s">
        <v>115</v>
      </c>
      <c r="D780" s="5" t="s">
        <v>1534</v>
      </c>
      <c r="E780" s="5" t="s">
        <v>1534</v>
      </c>
      <c r="F780" s="5" t="s">
        <v>1529</v>
      </c>
      <c r="G780" s="5" t="str">
        <f aca="false">IF(EXACT(D780,E780),"Tetap","Diubah")</f>
        <v>Tetap</v>
      </c>
      <c r="H780" s="5" t="s">
        <v>23</v>
      </c>
    </row>
    <row r="781" customFormat="false" ht="15" hidden="false" customHeight="false" outlineLevel="0" collapsed="false">
      <c r="A781" s="5" t="n">
        <v>780</v>
      </c>
      <c r="B781" s="5" t="s">
        <v>308</v>
      </c>
      <c r="C781" s="5" t="s">
        <v>330</v>
      </c>
      <c r="D781" s="5" t="s">
        <v>1535</v>
      </c>
      <c r="E781" s="5" t="s">
        <v>1536</v>
      </c>
      <c r="F781" s="5"/>
      <c r="G781" s="5" t="str">
        <f aca="false">IF(EXACT(D781,E781),"Tetap","Diubah")</f>
        <v>Diubah</v>
      </c>
      <c r="H781" s="5" t="s">
        <v>23</v>
      </c>
    </row>
    <row r="782" customFormat="false" ht="15" hidden="false" customHeight="false" outlineLevel="0" collapsed="false">
      <c r="A782" s="5" t="n">
        <v>781</v>
      </c>
      <c r="B782" s="5" t="s">
        <v>308</v>
      </c>
      <c r="C782" s="5" t="s">
        <v>54</v>
      </c>
      <c r="D782" s="5" t="s">
        <v>1537</v>
      </c>
      <c r="E782" s="5" t="s">
        <v>1538</v>
      </c>
      <c r="F782" s="5"/>
      <c r="G782" s="5" t="str">
        <f aca="false">IF(EXACT(D782,E782),"Tetap","Diubah")</f>
        <v>Diubah</v>
      </c>
      <c r="H782" s="5" t="s">
        <v>23</v>
      </c>
    </row>
    <row r="783" customFormat="false" ht="15" hidden="false" customHeight="false" outlineLevel="0" collapsed="false">
      <c r="A783" s="5" t="n">
        <v>782</v>
      </c>
      <c r="B783" s="5" t="s">
        <v>308</v>
      </c>
      <c r="C783" s="5" t="s">
        <v>20</v>
      </c>
      <c r="D783" s="5" t="s">
        <v>1539</v>
      </c>
      <c r="E783" s="5" t="s">
        <v>1540</v>
      </c>
      <c r="F783" s="5"/>
      <c r="G783" s="5" t="str">
        <f aca="false">IF(EXACT(D783,E783),"Tetap","Diubah")</f>
        <v>Diubah</v>
      </c>
      <c r="H783" s="5" t="s">
        <v>23</v>
      </c>
    </row>
    <row r="784" customFormat="false" ht="15" hidden="false" customHeight="false" outlineLevel="0" collapsed="false">
      <c r="A784" s="5" t="n">
        <v>783</v>
      </c>
      <c r="B784" s="5" t="s">
        <v>308</v>
      </c>
      <c r="C784" s="5" t="s">
        <v>330</v>
      </c>
      <c r="D784" s="5" t="s">
        <v>1541</v>
      </c>
      <c r="E784" s="5" t="s">
        <v>1542</v>
      </c>
      <c r="F784" s="5"/>
      <c r="G784" s="5" t="str">
        <f aca="false">IF(EXACT(D784,E784),"Tetap","Diubah")</f>
        <v>Diubah</v>
      </c>
      <c r="H784" s="5" t="s">
        <v>23</v>
      </c>
    </row>
    <row r="785" customFormat="false" ht="15" hidden="false" customHeight="false" outlineLevel="0" collapsed="false">
      <c r="A785" s="5" t="n">
        <v>784</v>
      </c>
      <c r="B785" s="5" t="s">
        <v>308</v>
      </c>
      <c r="C785" s="5" t="s">
        <v>20</v>
      </c>
      <c r="D785" s="5" t="s">
        <v>1543</v>
      </c>
      <c r="E785" s="5" t="s">
        <v>1543</v>
      </c>
      <c r="F785" s="5" t="s">
        <v>28</v>
      </c>
      <c r="G785" s="5" t="str">
        <f aca="false">IF(EXACT(D785,E785),"Tetap","Diubah")</f>
        <v>Tetap</v>
      </c>
      <c r="H785" s="5" t="s">
        <v>23</v>
      </c>
    </row>
    <row r="786" customFormat="false" ht="15" hidden="false" customHeight="false" outlineLevel="0" collapsed="false">
      <c r="A786" s="5" t="n">
        <v>785</v>
      </c>
      <c r="B786" s="5" t="s">
        <v>308</v>
      </c>
      <c r="C786" s="5" t="s">
        <v>60</v>
      </c>
      <c r="D786" s="5" t="s">
        <v>1136</v>
      </c>
      <c r="E786" s="5" t="s">
        <v>1136</v>
      </c>
      <c r="F786" s="5" t="s">
        <v>28</v>
      </c>
      <c r="G786" s="5" t="str">
        <f aca="false">IF(EXACT(D786,E786),"Tetap","Diubah")</f>
        <v>Tetap</v>
      </c>
      <c r="H786" s="5" t="s">
        <v>23</v>
      </c>
    </row>
    <row r="787" customFormat="false" ht="15" hidden="false" customHeight="false" outlineLevel="0" collapsed="false">
      <c r="A787" s="5" t="n">
        <v>786</v>
      </c>
      <c r="B787" s="5" t="s">
        <v>308</v>
      </c>
      <c r="C787" s="5" t="s">
        <v>71</v>
      </c>
      <c r="D787" s="5" t="s">
        <v>1544</v>
      </c>
      <c r="E787" s="5" t="s">
        <v>1545</v>
      </c>
      <c r="F787" s="5"/>
      <c r="G787" s="5" t="str">
        <f aca="false">IF(EXACT(D787,E787),"Tetap","Diubah")</f>
        <v>Diubah</v>
      </c>
      <c r="H787" s="5" t="s">
        <v>23</v>
      </c>
    </row>
    <row r="788" customFormat="false" ht="15" hidden="false" customHeight="false" outlineLevel="0" collapsed="false">
      <c r="A788" s="5" t="n">
        <v>787</v>
      </c>
      <c r="B788" s="5" t="s">
        <v>308</v>
      </c>
      <c r="C788" s="5" t="s">
        <v>159</v>
      </c>
      <c r="D788" s="5" t="s">
        <v>1546</v>
      </c>
      <c r="E788" s="5" t="s">
        <v>1547</v>
      </c>
      <c r="F788" s="5"/>
      <c r="G788" s="5" t="str">
        <f aca="false">IF(EXACT(D788,E788),"Tetap","Diubah")</f>
        <v>Diubah</v>
      </c>
      <c r="H788" s="5" t="s">
        <v>23</v>
      </c>
    </row>
    <row r="789" customFormat="false" ht="15" hidden="false" customHeight="false" outlineLevel="0" collapsed="false">
      <c r="A789" s="5" t="n">
        <v>788</v>
      </c>
      <c r="B789" s="5" t="s">
        <v>308</v>
      </c>
      <c r="C789" s="5" t="s">
        <v>115</v>
      </c>
      <c r="D789" s="5" t="s">
        <v>1548</v>
      </c>
      <c r="E789" s="5" t="s">
        <v>1549</v>
      </c>
      <c r="F789" s="5"/>
      <c r="G789" s="5" t="str">
        <f aca="false">IF(EXACT(D789,E789),"Tetap","Diubah")</f>
        <v>Diubah</v>
      </c>
      <c r="H789" s="5" t="s">
        <v>23</v>
      </c>
    </row>
    <row r="790" customFormat="false" ht="15" hidden="false" customHeight="false" outlineLevel="0" collapsed="false">
      <c r="A790" s="5" t="n">
        <v>789</v>
      </c>
      <c r="B790" s="5" t="s">
        <v>308</v>
      </c>
      <c r="C790" s="5" t="s">
        <v>115</v>
      </c>
      <c r="D790" s="5" t="s">
        <v>1550</v>
      </c>
      <c r="E790" s="5" t="s">
        <v>1551</v>
      </c>
      <c r="F790" s="5"/>
      <c r="G790" s="5" t="str">
        <f aca="false">IF(EXACT(D790,E790),"Tetap","Diubah")</f>
        <v>Diubah</v>
      </c>
      <c r="H790" s="5" t="s">
        <v>23</v>
      </c>
    </row>
    <row r="791" customFormat="false" ht="15" hidden="false" customHeight="false" outlineLevel="0" collapsed="false">
      <c r="A791" s="5" t="n">
        <v>790</v>
      </c>
      <c r="B791" s="5" t="s">
        <v>308</v>
      </c>
      <c r="C791" s="5" t="s">
        <v>130</v>
      </c>
      <c r="D791" s="5" t="s">
        <v>1552</v>
      </c>
      <c r="E791" s="5" t="s">
        <v>1553</v>
      </c>
      <c r="F791" s="5"/>
      <c r="G791" s="5" t="str">
        <f aca="false">IF(EXACT(D791,E791),"Tetap","Diubah")</f>
        <v>Diubah</v>
      </c>
      <c r="H791" s="5" t="s">
        <v>23</v>
      </c>
    </row>
    <row r="792" customFormat="false" ht="15" hidden="false" customHeight="false" outlineLevel="0" collapsed="false">
      <c r="A792" s="5" t="n">
        <v>791</v>
      </c>
      <c r="B792" s="5" t="s">
        <v>308</v>
      </c>
      <c r="C792" s="5" t="s">
        <v>54</v>
      </c>
      <c r="D792" s="5" t="s">
        <v>1554</v>
      </c>
      <c r="E792" s="5" t="s">
        <v>1555</v>
      </c>
      <c r="F792" s="5"/>
      <c r="G792" s="5" t="str">
        <f aca="false">IF(EXACT(D792,E792),"Tetap","Diubah")</f>
        <v>Diubah</v>
      </c>
      <c r="H792" s="5" t="s">
        <v>23</v>
      </c>
    </row>
    <row r="793" customFormat="false" ht="15" hidden="false" customHeight="false" outlineLevel="0" collapsed="false">
      <c r="A793" s="5" t="n">
        <v>792</v>
      </c>
      <c r="B793" s="5" t="s">
        <v>308</v>
      </c>
      <c r="C793" s="5" t="s">
        <v>54</v>
      </c>
      <c r="D793" s="5" t="s">
        <v>1556</v>
      </c>
      <c r="E793" s="5" t="s">
        <v>1557</v>
      </c>
      <c r="F793" s="5"/>
      <c r="G793" s="5" t="str">
        <f aca="false">IF(EXACT(D793,E793),"Tetap","Diubah")</f>
        <v>Diubah</v>
      </c>
      <c r="H793" s="5" t="s">
        <v>23</v>
      </c>
    </row>
    <row r="794" customFormat="false" ht="15" hidden="false" customHeight="false" outlineLevel="0" collapsed="false">
      <c r="A794" s="5" t="n">
        <v>793</v>
      </c>
      <c r="B794" s="5" t="s">
        <v>308</v>
      </c>
      <c r="C794" s="5" t="s">
        <v>130</v>
      </c>
      <c r="D794" s="5" t="s">
        <v>1558</v>
      </c>
      <c r="E794" s="5" t="s">
        <v>1559</v>
      </c>
      <c r="F794" s="5"/>
      <c r="G794" s="5" t="str">
        <f aca="false">IF(EXACT(D794,E794),"Tetap","Diubah")</f>
        <v>Diubah</v>
      </c>
      <c r="H794" s="5" t="s">
        <v>23</v>
      </c>
    </row>
    <row r="795" customFormat="false" ht="15" hidden="false" customHeight="false" outlineLevel="0" collapsed="false">
      <c r="A795" s="5" t="n">
        <v>794</v>
      </c>
      <c r="B795" s="5" t="s">
        <v>308</v>
      </c>
      <c r="C795" s="5" t="s">
        <v>54</v>
      </c>
      <c r="D795" s="5" t="s">
        <v>1560</v>
      </c>
      <c r="E795" s="5" t="s">
        <v>1560</v>
      </c>
      <c r="F795" s="5" t="s">
        <v>28</v>
      </c>
      <c r="G795" s="5" t="str">
        <f aca="false">IF(EXACT(D795,E795),"Tetap","Diubah")</f>
        <v>Tetap</v>
      </c>
      <c r="H795" s="5" t="s">
        <v>23</v>
      </c>
    </row>
    <row r="796" customFormat="false" ht="15" hidden="false" customHeight="false" outlineLevel="0" collapsed="false">
      <c r="A796" s="5" t="n">
        <v>795</v>
      </c>
      <c r="B796" s="5" t="s">
        <v>308</v>
      </c>
      <c r="C796" s="5" t="s">
        <v>54</v>
      </c>
      <c r="D796" s="5" t="s">
        <v>1561</v>
      </c>
      <c r="E796" s="5" t="s">
        <v>1562</v>
      </c>
      <c r="F796" s="5"/>
      <c r="G796" s="5" t="str">
        <f aca="false">IF(EXACT(D796,E796),"Tetap","Diubah")</f>
        <v>Diubah</v>
      </c>
      <c r="H796" s="5" t="s">
        <v>23</v>
      </c>
    </row>
    <row r="797" customFormat="false" ht="15" hidden="false" customHeight="false" outlineLevel="0" collapsed="false">
      <c r="A797" s="5" t="n">
        <v>796</v>
      </c>
      <c r="B797" s="5" t="s">
        <v>308</v>
      </c>
      <c r="C797" s="5" t="s">
        <v>54</v>
      </c>
      <c r="D797" s="5" t="s">
        <v>1563</v>
      </c>
      <c r="E797" s="5" t="s">
        <v>1563</v>
      </c>
      <c r="F797" s="5" t="s">
        <v>28</v>
      </c>
      <c r="G797" s="5" t="str">
        <f aca="false">IF(EXACT(D797,E797),"Tetap","Diubah")</f>
        <v>Tetap</v>
      </c>
      <c r="H797" s="5" t="s">
        <v>23</v>
      </c>
    </row>
    <row r="798" customFormat="false" ht="15" hidden="false" customHeight="false" outlineLevel="0" collapsed="false">
      <c r="A798" s="5" t="n">
        <v>797</v>
      </c>
      <c r="B798" s="5" t="s">
        <v>308</v>
      </c>
      <c r="C798" s="5" t="s">
        <v>90</v>
      </c>
      <c r="D798" s="5" t="s">
        <v>1564</v>
      </c>
      <c r="E798" s="5" t="s">
        <v>1565</v>
      </c>
      <c r="F798" s="5"/>
      <c r="G798" s="5" t="str">
        <f aca="false">IF(EXACT(D798,E798),"Tetap","Diubah")</f>
        <v>Diubah</v>
      </c>
      <c r="H798" s="5" t="s">
        <v>23</v>
      </c>
    </row>
    <row r="799" customFormat="false" ht="15" hidden="false" customHeight="false" outlineLevel="0" collapsed="false">
      <c r="A799" s="5" t="n">
        <v>798</v>
      </c>
      <c r="B799" s="5" t="s">
        <v>308</v>
      </c>
      <c r="C799" s="5" t="s">
        <v>54</v>
      </c>
      <c r="D799" s="5" t="s">
        <v>1566</v>
      </c>
      <c r="E799" s="5" t="s">
        <v>1567</v>
      </c>
      <c r="F799" s="5"/>
      <c r="G799" s="5" t="str">
        <f aca="false">IF(EXACT(D799,E799),"Tetap","Diubah")</f>
        <v>Diubah</v>
      </c>
      <c r="H799" s="5" t="s">
        <v>23</v>
      </c>
    </row>
    <row r="800" customFormat="false" ht="15" hidden="false" customHeight="false" outlineLevel="0" collapsed="false">
      <c r="A800" s="5" t="n">
        <v>799</v>
      </c>
      <c r="B800" s="5" t="s">
        <v>308</v>
      </c>
      <c r="C800" s="5" t="s">
        <v>90</v>
      </c>
      <c r="D800" s="5" t="s">
        <v>1568</v>
      </c>
      <c r="E800" s="5" t="s">
        <v>1568</v>
      </c>
      <c r="F800" s="5" t="s">
        <v>28</v>
      </c>
      <c r="G800" s="5" t="str">
        <f aca="false">IF(EXACT(D800,E800),"Tetap","Diubah")</f>
        <v>Tetap</v>
      </c>
      <c r="H800" s="5" t="s">
        <v>23</v>
      </c>
    </row>
    <row r="801" customFormat="false" ht="15" hidden="false" customHeight="false" outlineLevel="0" collapsed="false">
      <c r="A801" s="5" t="n">
        <v>800</v>
      </c>
      <c r="B801" s="5" t="s">
        <v>308</v>
      </c>
      <c r="C801" s="5" t="s">
        <v>90</v>
      </c>
      <c r="D801" s="5" t="s">
        <v>1569</v>
      </c>
      <c r="E801" s="5" t="s">
        <v>1570</v>
      </c>
      <c r="F801" s="5"/>
      <c r="G801" s="5" t="str">
        <f aca="false">IF(EXACT(D801,E801),"Tetap","Diubah")</f>
        <v>Diubah</v>
      </c>
      <c r="H801" s="5" t="s">
        <v>23</v>
      </c>
    </row>
    <row r="802" customFormat="false" ht="15" hidden="false" customHeight="false" outlineLevel="0" collapsed="false">
      <c r="A802" s="5" t="n">
        <v>801</v>
      </c>
      <c r="B802" s="5" t="s">
        <v>308</v>
      </c>
      <c r="C802" s="5" t="s">
        <v>90</v>
      </c>
      <c r="D802" s="5" t="s">
        <v>1571</v>
      </c>
      <c r="E802" s="5" t="s">
        <v>1572</v>
      </c>
      <c r="F802" s="5"/>
      <c r="G802" s="5" t="str">
        <f aca="false">IF(EXACT(D802,E802),"Tetap","Diubah")</f>
        <v>Diubah</v>
      </c>
      <c r="H802" s="5" t="s">
        <v>23</v>
      </c>
    </row>
    <row r="803" customFormat="false" ht="15" hidden="false" customHeight="false" outlineLevel="0" collapsed="false">
      <c r="A803" s="5" t="n">
        <v>802</v>
      </c>
      <c r="B803" s="5" t="s">
        <v>308</v>
      </c>
      <c r="C803" s="5" t="s">
        <v>20</v>
      </c>
      <c r="D803" s="5" t="s">
        <v>1573</v>
      </c>
      <c r="E803" s="5" t="s">
        <v>1574</v>
      </c>
      <c r="F803" s="5"/>
      <c r="G803" s="5" t="str">
        <f aca="false">IF(EXACT(D803,E803),"Tetap","Diubah")</f>
        <v>Diubah</v>
      </c>
      <c r="H803" s="5" t="s">
        <v>23</v>
      </c>
    </row>
    <row r="804" customFormat="false" ht="15" hidden="false" customHeight="false" outlineLevel="0" collapsed="false">
      <c r="A804" s="5" t="n">
        <v>803</v>
      </c>
      <c r="B804" s="5" t="s">
        <v>308</v>
      </c>
      <c r="C804" s="5" t="s">
        <v>330</v>
      </c>
      <c r="D804" s="5" t="s">
        <v>1575</v>
      </c>
      <c r="E804" s="5" t="s">
        <v>1576</v>
      </c>
      <c r="F804" s="5"/>
      <c r="G804" s="5" t="str">
        <f aca="false">IF(EXACT(D804,E804),"Tetap","Diubah")</f>
        <v>Diubah</v>
      </c>
      <c r="H804" s="5" t="s">
        <v>23</v>
      </c>
    </row>
    <row r="805" customFormat="false" ht="15" hidden="false" customHeight="false" outlineLevel="0" collapsed="false">
      <c r="A805" s="5" t="n">
        <v>804</v>
      </c>
      <c r="B805" s="5" t="s">
        <v>308</v>
      </c>
      <c r="C805" s="5" t="s">
        <v>60</v>
      </c>
      <c r="D805" s="5" t="s">
        <v>1577</v>
      </c>
      <c r="E805" s="5" t="s">
        <v>1578</v>
      </c>
      <c r="F805" s="5"/>
      <c r="G805" s="5" t="str">
        <f aca="false">IF(EXACT(D805,E805),"Tetap","Diubah")</f>
        <v>Diubah</v>
      </c>
      <c r="H805" s="5" t="s">
        <v>23</v>
      </c>
    </row>
    <row r="806" customFormat="false" ht="15" hidden="false" customHeight="false" outlineLevel="0" collapsed="false">
      <c r="A806" s="5" t="n">
        <v>805</v>
      </c>
      <c r="B806" s="5" t="s">
        <v>308</v>
      </c>
      <c r="C806" s="5" t="s">
        <v>60</v>
      </c>
      <c r="D806" s="5" t="s">
        <v>1579</v>
      </c>
      <c r="E806" s="5" t="s">
        <v>1560</v>
      </c>
      <c r="F806" s="5" t="s">
        <v>1281</v>
      </c>
      <c r="G806" s="5" t="str">
        <f aca="false">IF(EXACT(D806,E806),"Tetap","Diubah")</f>
        <v>Diubah</v>
      </c>
      <c r="H806" s="5" t="s">
        <v>23</v>
      </c>
    </row>
    <row r="807" customFormat="false" ht="15" hidden="false" customHeight="false" outlineLevel="0" collapsed="false">
      <c r="A807" s="5" t="n">
        <v>806</v>
      </c>
      <c r="B807" s="5" t="s">
        <v>308</v>
      </c>
      <c r="C807" s="5" t="s">
        <v>60</v>
      </c>
      <c r="D807" s="5" t="s">
        <v>18</v>
      </c>
      <c r="E807" s="5" t="s">
        <v>1567</v>
      </c>
      <c r="F807" s="5"/>
      <c r="G807" s="5" t="str">
        <f aca="false">IF(EXACT(D807,E807),"Tetap","Diubah")</f>
        <v>Diubah</v>
      </c>
      <c r="H807" s="5" t="s">
        <v>23</v>
      </c>
    </row>
    <row r="808" customFormat="false" ht="15" hidden="false" customHeight="false" outlineLevel="0" collapsed="false">
      <c r="A808" s="5" t="n">
        <v>807</v>
      </c>
      <c r="B808" s="5" t="s">
        <v>308</v>
      </c>
      <c r="C808" s="5" t="s">
        <v>60</v>
      </c>
      <c r="D808" s="5" t="s">
        <v>1580</v>
      </c>
      <c r="E808" s="5" t="s">
        <v>1561</v>
      </c>
      <c r="F808" s="5"/>
      <c r="G808" s="5" t="str">
        <f aca="false">IF(EXACT(D808,E808),"Tetap","Diubah")</f>
        <v>Diubah</v>
      </c>
      <c r="H808" s="5" t="s">
        <v>23</v>
      </c>
    </row>
    <row r="809" customFormat="false" ht="15" hidden="false" customHeight="false" outlineLevel="0" collapsed="false">
      <c r="A809" s="5" t="n">
        <v>808</v>
      </c>
      <c r="B809" s="5" t="s">
        <v>308</v>
      </c>
      <c r="C809" s="5" t="s">
        <v>71</v>
      </c>
      <c r="D809" s="5" t="s">
        <v>1581</v>
      </c>
      <c r="E809" s="5" t="s">
        <v>1582</v>
      </c>
      <c r="F809" s="5"/>
      <c r="G809" s="5" t="str">
        <f aca="false">IF(EXACT(D809,E809),"Tetap","Diubah")</f>
        <v>Diubah</v>
      </c>
      <c r="H809" s="5" t="s">
        <v>23</v>
      </c>
    </row>
    <row r="810" customFormat="false" ht="15" hidden="false" customHeight="false" outlineLevel="0" collapsed="false">
      <c r="A810" s="5" t="n">
        <v>809</v>
      </c>
      <c r="B810" s="5" t="s">
        <v>308</v>
      </c>
      <c r="C810" s="5" t="s">
        <v>159</v>
      </c>
      <c r="D810" s="5" t="s">
        <v>1583</v>
      </c>
      <c r="E810" s="5" t="s">
        <v>1148</v>
      </c>
      <c r="F810" s="5"/>
      <c r="G810" s="5" t="str">
        <f aca="false">IF(EXACT(D810,E810),"Tetap","Diubah")</f>
        <v>Diubah</v>
      </c>
      <c r="H810" s="5" t="s">
        <v>23</v>
      </c>
    </row>
    <row r="811" customFormat="false" ht="15" hidden="false" customHeight="false" outlineLevel="0" collapsed="false">
      <c r="A811" s="5" t="n">
        <v>810</v>
      </c>
      <c r="B811" s="5" t="s">
        <v>308</v>
      </c>
      <c r="C811" s="5" t="s">
        <v>130</v>
      </c>
      <c r="D811" s="5" t="s">
        <v>1584</v>
      </c>
      <c r="E811" s="5" t="s">
        <v>1585</v>
      </c>
      <c r="F811" s="5"/>
      <c r="G811" s="5" t="str">
        <f aca="false">IF(EXACT(D811,E811),"Tetap","Diubah")</f>
        <v>Diubah</v>
      </c>
      <c r="H811" s="5" t="s">
        <v>23</v>
      </c>
    </row>
    <row r="812" customFormat="false" ht="15" hidden="false" customHeight="false" outlineLevel="0" collapsed="false">
      <c r="A812" s="5" t="n">
        <v>811</v>
      </c>
      <c r="B812" s="5" t="s">
        <v>308</v>
      </c>
      <c r="C812" s="5" t="s">
        <v>20</v>
      </c>
      <c r="D812" s="5" t="s">
        <v>1586</v>
      </c>
      <c r="E812" s="5" t="s">
        <v>1587</v>
      </c>
      <c r="F812" s="5"/>
      <c r="G812" s="5" t="str">
        <f aca="false">IF(EXACT(D812,E812),"Tetap","Diubah")</f>
        <v>Diubah</v>
      </c>
      <c r="H812" s="5" t="s">
        <v>23</v>
      </c>
    </row>
    <row r="813" customFormat="false" ht="15" hidden="false" customHeight="false" outlineLevel="0" collapsed="false">
      <c r="A813" s="5" t="n">
        <v>812</v>
      </c>
      <c r="B813" s="5" t="s">
        <v>308</v>
      </c>
      <c r="C813" s="5" t="s">
        <v>20</v>
      </c>
      <c r="D813" s="5" t="s">
        <v>1588</v>
      </c>
      <c r="E813" s="5" t="s">
        <v>1589</v>
      </c>
      <c r="F813" s="5" t="s">
        <v>1590</v>
      </c>
      <c r="G813" s="5" t="str">
        <f aca="false">IF(EXACT(D813,E813),"Tetap","Diubah")</f>
        <v>Diubah</v>
      </c>
      <c r="H813" s="5" t="s">
        <v>23</v>
      </c>
    </row>
    <row r="814" customFormat="false" ht="15" hidden="false" customHeight="false" outlineLevel="0" collapsed="false">
      <c r="A814" s="5" t="n">
        <v>813</v>
      </c>
      <c r="B814" s="5" t="s">
        <v>308</v>
      </c>
      <c r="C814" s="5" t="s">
        <v>330</v>
      </c>
      <c r="D814" s="5" t="s">
        <v>1591</v>
      </c>
      <c r="E814" s="5" t="s">
        <v>1592</v>
      </c>
      <c r="F814" s="5"/>
      <c r="G814" s="5" t="str">
        <f aca="false">IF(EXACT(D814,E814),"Tetap","Diubah")</f>
        <v>Diubah</v>
      </c>
      <c r="H814" s="5" t="s">
        <v>23</v>
      </c>
    </row>
    <row r="815" customFormat="false" ht="15" hidden="false" customHeight="false" outlineLevel="0" collapsed="false">
      <c r="A815" s="5" t="n">
        <v>814</v>
      </c>
      <c r="B815" s="5" t="s">
        <v>308</v>
      </c>
      <c r="C815" s="5" t="s">
        <v>130</v>
      </c>
      <c r="D815" s="5" t="s">
        <v>1593</v>
      </c>
      <c r="E815" s="5" t="s">
        <v>1594</v>
      </c>
      <c r="F815" s="5"/>
      <c r="G815" s="5" t="str">
        <f aca="false">IF(EXACT(D815,E815),"Tetap","Diubah")</f>
        <v>Diubah</v>
      </c>
      <c r="H815" s="5" t="s">
        <v>23</v>
      </c>
    </row>
    <row r="816" customFormat="false" ht="15" hidden="false" customHeight="false" outlineLevel="0" collapsed="false">
      <c r="A816" s="5" t="n">
        <v>815</v>
      </c>
      <c r="B816" s="5" t="s">
        <v>308</v>
      </c>
      <c r="C816" s="5" t="s">
        <v>60</v>
      </c>
      <c r="D816" s="5" t="s">
        <v>17</v>
      </c>
      <c r="E816" s="5" t="s">
        <v>17</v>
      </c>
      <c r="F816" s="5" t="s">
        <v>28</v>
      </c>
      <c r="G816" s="5" t="str">
        <f aca="false">IF(EXACT(D816,E816),"Tetap","Diubah")</f>
        <v>Tetap</v>
      </c>
      <c r="H816" s="5" t="s">
        <v>23</v>
      </c>
    </row>
    <row r="817" customFormat="false" ht="15" hidden="false" customHeight="false" outlineLevel="0" collapsed="false">
      <c r="A817" s="5" t="n">
        <v>816</v>
      </c>
      <c r="B817" s="5" t="s">
        <v>308</v>
      </c>
      <c r="C817" s="5" t="s">
        <v>60</v>
      </c>
      <c r="D817" s="5" t="s">
        <v>1160</v>
      </c>
      <c r="E817" s="5" t="s">
        <v>1160</v>
      </c>
      <c r="F817" s="5" t="s">
        <v>28</v>
      </c>
      <c r="G817" s="5" t="str">
        <f aca="false">IF(EXACT(D817,E817),"Tetap","Diubah")</f>
        <v>Tetap</v>
      </c>
      <c r="H817" s="5" t="s">
        <v>23</v>
      </c>
    </row>
    <row r="818" customFormat="false" ht="15" hidden="false" customHeight="false" outlineLevel="0" collapsed="false">
      <c r="A818" s="5" t="n">
        <v>817</v>
      </c>
      <c r="B818" s="5" t="s">
        <v>308</v>
      </c>
      <c r="C818" s="5" t="s">
        <v>60</v>
      </c>
      <c r="D818" s="5" t="s">
        <v>1595</v>
      </c>
      <c r="E818" s="5" t="s">
        <v>1461</v>
      </c>
      <c r="F818" s="5"/>
      <c r="G818" s="5" t="str">
        <f aca="false">IF(EXACT(D818,E818),"Tetap","Diubah")</f>
        <v>Diubah</v>
      </c>
      <c r="H818" s="5" t="s">
        <v>23</v>
      </c>
    </row>
    <row r="819" customFormat="false" ht="15" hidden="false" customHeight="false" outlineLevel="0" collapsed="false">
      <c r="A819" s="5" t="n">
        <v>818</v>
      </c>
      <c r="B819" s="5" t="s">
        <v>308</v>
      </c>
      <c r="C819" s="5" t="s">
        <v>20</v>
      </c>
      <c r="D819" s="5" t="s">
        <v>1596</v>
      </c>
      <c r="E819" s="5" t="s">
        <v>1597</v>
      </c>
      <c r="F819" s="5"/>
      <c r="G819" s="5" t="str">
        <f aca="false">IF(EXACT(D819,E819),"Tetap","Diubah")</f>
        <v>Diubah</v>
      </c>
      <c r="H819" s="5" t="s">
        <v>23</v>
      </c>
    </row>
    <row r="820" customFormat="false" ht="15" hidden="false" customHeight="false" outlineLevel="0" collapsed="false">
      <c r="A820" s="5" t="n">
        <v>819</v>
      </c>
      <c r="B820" s="5" t="s">
        <v>308</v>
      </c>
      <c r="C820" s="5" t="s">
        <v>20</v>
      </c>
      <c r="D820" s="5" t="s">
        <v>1598</v>
      </c>
      <c r="E820" s="5" t="s">
        <v>1599</v>
      </c>
      <c r="F820" s="5"/>
      <c r="G820" s="5" t="str">
        <f aca="false">IF(EXACT(D820,E820),"Tetap","Diubah")</f>
        <v>Diubah</v>
      </c>
      <c r="H820" s="5" t="s">
        <v>23</v>
      </c>
    </row>
    <row r="821" customFormat="false" ht="23.85" hidden="false" customHeight="false" outlineLevel="0" collapsed="false">
      <c r="A821" s="5" t="n">
        <v>820</v>
      </c>
      <c r="B821" s="5" t="s">
        <v>308</v>
      </c>
      <c r="C821" s="5" t="s">
        <v>488</v>
      </c>
      <c r="D821" s="5" t="s">
        <v>1600</v>
      </c>
      <c r="E821" s="5" t="s">
        <v>1601</v>
      </c>
      <c r="F821" s="5"/>
      <c r="G821" s="5" t="str">
        <f aca="false">IF(EXACT(D821,E821),"Tetap","Diubah")</f>
        <v>Diubah</v>
      </c>
      <c r="H821" s="5" t="s">
        <v>167</v>
      </c>
    </row>
    <row r="822" customFormat="false" ht="23.85" hidden="false" customHeight="false" outlineLevel="0" collapsed="false">
      <c r="A822" s="5" t="n">
        <v>821</v>
      </c>
      <c r="B822" s="5" t="s">
        <v>308</v>
      </c>
      <c r="C822" s="5" t="s">
        <v>488</v>
      </c>
      <c r="D822" s="5" t="s">
        <v>1602</v>
      </c>
      <c r="E822" s="5" t="s">
        <v>1603</v>
      </c>
      <c r="F822" s="5" t="s">
        <v>1604</v>
      </c>
      <c r="G822" s="5" t="str">
        <f aca="false">IF(EXACT(D822,E822),"Tetap","Diubah")</f>
        <v>Diubah</v>
      </c>
      <c r="H822" s="5" t="s">
        <v>167</v>
      </c>
    </row>
    <row r="823" customFormat="false" ht="23.85" hidden="false" customHeight="false" outlineLevel="0" collapsed="false">
      <c r="A823" s="5" t="n">
        <v>822</v>
      </c>
      <c r="B823" s="5" t="s">
        <v>308</v>
      </c>
      <c r="C823" s="5" t="s">
        <v>488</v>
      </c>
      <c r="D823" s="5" t="s">
        <v>1605</v>
      </c>
      <c r="E823" s="5" t="s">
        <v>1606</v>
      </c>
      <c r="F823" s="5"/>
      <c r="G823" s="5" t="str">
        <f aca="false">IF(EXACT(D823,E823),"Tetap","Diubah")</f>
        <v>Diubah</v>
      </c>
      <c r="H823" s="5" t="s">
        <v>167</v>
      </c>
    </row>
    <row r="824" customFormat="false" ht="23.85" hidden="false" customHeight="false" outlineLevel="0" collapsed="false">
      <c r="A824" s="5" t="n">
        <v>823</v>
      </c>
      <c r="B824" s="5" t="s">
        <v>308</v>
      </c>
      <c r="C824" s="5" t="s">
        <v>488</v>
      </c>
      <c r="D824" s="5" t="s">
        <v>1607</v>
      </c>
      <c r="E824" s="5" t="s">
        <v>1607</v>
      </c>
      <c r="F824" s="5"/>
      <c r="G824" s="5" t="str">
        <f aca="false">IF(EXACT(D824,E824),"Tetap","Diubah")</f>
        <v>Tetap</v>
      </c>
      <c r="H824" s="5" t="s">
        <v>167</v>
      </c>
    </row>
    <row r="825" customFormat="false" ht="23.85" hidden="false" customHeight="false" outlineLevel="0" collapsed="false">
      <c r="A825" s="5" t="n">
        <v>824</v>
      </c>
      <c r="B825" s="5" t="s">
        <v>308</v>
      </c>
      <c r="C825" s="5" t="s">
        <v>488</v>
      </c>
      <c r="D825" s="5" t="s">
        <v>1608</v>
      </c>
      <c r="E825" s="5" t="s">
        <v>1608</v>
      </c>
      <c r="F825" s="5"/>
      <c r="G825" s="5" t="str">
        <f aca="false">IF(EXACT(D825,E825),"Tetap","Diubah")</f>
        <v>Tetap</v>
      </c>
      <c r="H825" s="5" t="s">
        <v>167</v>
      </c>
    </row>
    <row r="826" customFormat="false" ht="23.85" hidden="false" customHeight="false" outlineLevel="0" collapsed="false">
      <c r="A826" s="5" t="n">
        <v>825</v>
      </c>
      <c r="B826" s="5" t="s">
        <v>308</v>
      </c>
      <c r="C826" s="5" t="s">
        <v>488</v>
      </c>
      <c r="D826" s="5" t="s">
        <v>1609</v>
      </c>
      <c r="E826" s="5" t="s">
        <v>1609</v>
      </c>
      <c r="F826" s="5"/>
      <c r="G826" s="5" t="str">
        <f aca="false">IF(EXACT(D826,E826),"Tetap","Diubah")</f>
        <v>Tetap</v>
      </c>
      <c r="H826" s="5" t="s">
        <v>167</v>
      </c>
    </row>
    <row r="827" customFormat="false" ht="23.85" hidden="false" customHeight="false" outlineLevel="0" collapsed="false">
      <c r="A827" s="5" t="n">
        <v>826</v>
      </c>
      <c r="B827" s="5" t="s">
        <v>308</v>
      </c>
      <c r="C827" s="5" t="s">
        <v>488</v>
      </c>
      <c r="D827" s="5" t="s">
        <v>1610</v>
      </c>
      <c r="E827" s="5" t="s">
        <v>1611</v>
      </c>
      <c r="F827" s="5"/>
      <c r="G827" s="5" t="str">
        <f aca="false">IF(EXACT(D827,E827),"Tetap","Diubah")</f>
        <v>Diubah</v>
      </c>
      <c r="H827" s="5" t="s">
        <v>167</v>
      </c>
    </row>
    <row r="828" customFormat="false" ht="23.85" hidden="false" customHeight="false" outlineLevel="0" collapsed="false">
      <c r="A828" s="5" t="n">
        <v>827</v>
      </c>
      <c r="B828" s="5" t="s">
        <v>308</v>
      </c>
      <c r="C828" s="5" t="s">
        <v>488</v>
      </c>
      <c r="D828" s="5" t="s">
        <v>1612</v>
      </c>
      <c r="E828" s="5" t="s">
        <v>1613</v>
      </c>
      <c r="F828" s="5"/>
      <c r="G828" s="5" t="str">
        <f aca="false">IF(EXACT(D828,E828),"Tetap","Diubah")</f>
        <v>Diubah</v>
      </c>
      <c r="H828" s="5" t="s">
        <v>167</v>
      </c>
    </row>
    <row r="829" customFormat="false" ht="23.85" hidden="false" customHeight="false" outlineLevel="0" collapsed="false">
      <c r="A829" s="5" t="n">
        <v>828</v>
      </c>
      <c r="B829" s="5" t="s">
        <v>308</v>
      </c>
      <c r="C829" s="5" t="s">
        <v>488</v>
      </c>
      <c r="D829" s="5" t="s">
        <v>1614</v>
      </c>
      <c r="E829" s="5" t="s">
        <v>1615</v>
      </c>
      <c r="F829" s="5"/>
      <c r="G829" s="5" t="str">
        <f aca="false">IF(EXACT(D829,E829),"Tetap","Diubah")</f>
        <v>Diubah</v>
      </c>
      <c r="H829" s="5" t="s">
        <v>167</v>
      </c>
    </row>
    <row r="830" customFormat="false" ht="23.85" hidden="false" customHeight="false" outlineLevel="0" collapsed="false">
      <c r="A830" s="5" t="n">
        <v>829</v>
      </c>
      <c r="B830" s="5" t="s">
        <v>308</v>
      </c>
      <c r="C830" s="5" t="s">
        <v>488</v>
      </c>
      <c r="D830" s="5" t="s">
        <v>1616</v>
      </c>
      <c r="E830" s="5" t="s">
        <v>1617</v>
      </c>
      <c r="F830" s="5"/>
      <c r="G830" s="5" t="str">
        <f aca="false">IF(EXACT(D830,E830),"Tetap","Diubah")</f>
        <v>Diubah</v>
      </c>
      <c r="H830" s="5" t="s">
        <v>167</v>
      </c>
    </row>
    <row r="831" customFormat="false" ht="23.85" hidden="false" customHeight="false" outlineLevel="0" collapsed="false">
      <c r="A831" s="5" t="n">
        <v>830</v>
      </c>
      <c r="B831" s="5" t="s">
        <v>308</v>
      </c>
      <c r="C831" s="5" t="s">
        <v>488</v>
      </c>
      <c r="D831" s="5" t="s">
        <v>1618</v>
      </c>
      <c r="E831" s="5" t="s">
        <v>1619</v>
      </c>
      <c r="F831" s="5" t="s">
        <v>1620</v>
      </c>
      <c r="G831" s="5" t="str">
        <f aca="false">IF(EXACT(D831,E831),"Tetap","Diubah")</f>
        <v>Diubah</v>
      </c>
      <c r="H831" s="5" t="s">
        <v>167</v>
      </c>
    </row>
    <row r="832" customFormat="false" ht="23.85" hidden="false" customHeight="false" outlineLevel="0" collapsed="false">
      <c r="A832" s="5" t="n">
        <v>831</v>
      </c>
      <c r="B832" s="5" t="s">
        <v>308</v>
      </c>
      <c r="C832" s="5" t="s">
        <v>488</v>
      </c>
      <c r="D832" s="5" t="s">
        <v>1621</v>
      </c>
      <c r="E832" s="5" t="s">
        <v>1622</v>
      </c>
      <c r="F832" s="5"/>
      <c r="G832" s="5" t="str">
        <f aca="false">IF(EXACT(D832,E832),"Tetap","Diubah")</f>
        <v>Diubah</v>
      </c>
      <c r="H832" s="5" t="s">
        <v>167</v>
      </c>
    </row>
    <row r="833" customFormat="false" ht="23.85" hidden="false" customHeight="false" outlineLevel="0" collapsed="false">
      <c r="A833" s="5" t="n">
        <v>832</v>
      </c>
      <c r="B833" s="5" t="s">
        <v>308</v>
      </c>
      <c r="C833" s="5" t="s">
        <v>488</v>
      </c>
      <c r="D833" s="5" t="s">
        <v>1623</v>
      </c>
      <c r="E833" s="5" t="s">
        <v>1624</v>
      </c>
      <c r="F833" s="5"/>
      <c r="G833" s="5" t="str">
        <f aca="false">IF(EXACT(D833,E833),"Tetap","Diubah")</f>
        <v>Diubah</v>
      </c>
      <c r="H833" s="5" t="s">
        <v>167</v>
      </c>
    </row>
    <row r="834" customFormat="false" ht="23.85" hidden="false" customHeight="false" outlineLevel="0" collapsed="false">
      <c r="A834" s="5" t="n">
        <v>833</v>
      </c>
      <c r="B834" s="5" t="s">
        <v>308</v>
      </c>
      <c r="C834" s="5" t="s">
        <v>488</v>
      </c>
      <c r="D834" s="5" t="s">
        <v>1625</v>
      </c>
      <c r="E834" s="5" t="s">
        <v>1626</v>
      </c>
      <c r="F834" s="5"/>
      <c r="G834" s="5" t="str">
        <f aca="false">IF(EXACT(D834,E834),"Tetap","Diubah")</f>
        <v>Diubah</v>
      </c>
      <c r="H834" s="5" t="s">
        <v>167</v>
      </c>
    </row>
    <row r="835" customFormat="false" ht="23.85" hidden="false" customHeight="false" outlineLevel="0" collapsed="false">
      <c r="A835" s="5" t="n">
        <v>834</v>
      </c>
      <c r="B835" s="5" t="s">
        <v>308</v>
      </c>
      <c r="C835" s="5" t="s">
        <v>488</v>
      </c>
      <c r="D835" s="5" t="s">
        <v>1627</v>
      </c>
      <c r="E835" s="5" t="s">
        <v>1628</v>
      </c>
      <c r="F835" s="5"/>
      <c r="G835" s="5" t="str">
        <f aca="false">IF(EXACT(D835,E835),"Tetap","Diubah")</f>
        <v>Diubah</v>
      </c>
      <c r="H835" s="5" t="s">
        <v>167</v>
      </c>
    </row>
    <row r="836" customFormat="false" ht="23.85" hidden="false" customHeight="false" outlineLevel="0" collapsed="false">
      <c r="A836" s="5" t="n">
        <v>835</v>
      </c>
      <c r="B836" s="5" t="s">
        <v>308</v>
      </c>
      <c r="C836" s="5" t="s">
        <v>488</v>
      </c>
      <c r="D836" s="5" t="s">
        <v>1629</v>
      </c>
      <c r="E836" s="5" t="s">
        <v>1630</v>
      </c>
      <c r="F836" s="5"/>
      <c r="G836" s="5" t="str">
        <f aca="false">IF(EXACT(D836,E836),"Tetap","Diubah")</f>
        <v>Diubah</v>
      </c>
      <c r="H836" s="5" t="s">
        <v>167</v>
      </c>
    </row>
    <row r="837" customFormat="false" ht="23.85" hidden="false" customHeight="false" outlineLevel="0" collapsed="false">
      <c r="A837" s="5" t="n">
        <v>836</v>
      </c>
      <c r="B837" s="5" t="s">
        <v>308</v>
      </c>
      <c r="C837" s="5" t="s">
        <v>488</v>
      </c>
      <c r="D837" s="5" t="s">
        <v>1631</v>
      </c>
      <c r="E837" s="5" t="s">
        <v>1632</v>
      </c>
      <c r="F837" s="5"/>
      <c r="G837" s="5" t="str">
        <f aca="false">IF(EXACT(D837,E837),"Tetap","Diubah")</f>
        <v>Diubah</v>
      </c>
      <c r="H837" s="5" t="s">
        <v>167</v>
      </c>
    </row>
    <row r="838" customFormat="false" ht="23.85" hidden="false" customHeight="false" outlineLevel="0" collapsed="false">
      <c r="A838" s="5" t="n">
        <v>837</v>
      </c>
      <c r="B838" s="5" t="s">
        <v>308</v>
      </c>
      <c r="C838" s="5" t="s">
        <v>488</v>
      </c>
      <c r="D838" s="5" t="s">
        <v>1633</v>
      </c>
      <c r="E838" s="5" t="s">
        <v>1634</v>
      </c>
      <c r="F838" s="5"/>
      <c r="G838" s="5" t="str">
        <f aca="false">IF(EXACT(D838,E838),"Tetap","Diubah")</f>
        <v>Diubah</v>
      </c>
      <c r="H838" s="5" t="s">
        <v>167</v>
      </c>
    </row>
    <row r="839" customFormat="false" ht="23.85" hidden="false" customHeight="false" outlineLevel="0" collapsed="false">
      <c r="A839" s="5" t="n">
        <v>838</v>
      </c>
      <c r="B839" s="5" t="s">
        <v>308</v>
      </c>
      <c r="C839" s="5" t="s">
        <v>488</v>
      </c>
      <c r="D839" s="5" t="s">
        <v>1635</v>
      </c>
      <c r="E839" s="5" t="s">
        <v>1636</v>
      </c>
      <c r="F839" s="5"/>
      <c r="G839" s="5" t="str">
        <f aca="false">IF(EXACT(D839,E839),"Tetap","Diubah")</f>
        <v>Diubah</v>
      </c>
      <c r="H839" s="5" t="s">
        <v>167</v>
      </c>
    </row>
    <row r="840" customFormat="false" ht="23.85" hidden="false" customHeight="false" outlineLevel="0" collapsed="false">
      <c r="A840" s="5" t="n">
        <v>839</v>
      </c>
      <c r="B840" s="5" t="s">
        <v>308</v>
      </c>
      <c r="C840" s="5" t="s">
        <v>488</v>
      </c>
      <c r="D840" s="5" t="s">
        <v>1637</v>
      </c>
      <c r="E840" s="5" t="s">
        <v>1638</v>
      </c>
      <c r="F840" s="5"/>
      <c r="G840" s="5" t="str">
        <f aca="false">IF(EXACT(D840,E840),"Tetap","Diubah")</f>
        <v>Diubah</v>
      </c>
      <c r="H840" s="5" t="s">
        <v>167</v>
      </c>
    </row>
    <row r="841" customFormat="false" ht="23.85" hidden="false" customHeight="false" outlineLevel="0" collapsed="false">
      <c r="A841" s="5" t="n">
        <v>840</v>
      </c>
      <c r="B841" s="5" t="s">
        <v>308</v>
      </c>
      <c r="C841" s="5" t="s">
        <v>488</v>
      </c>
      <c r="D841" s="5" t="s">
        <v>1639</v>
      </c>
      <c r="E841" s="5" t="s">
        <v>1640</v>
      </c>
      <c r="F841" s="5"/>
      <c r="G841" s="5" t="str">
        <f aca="false">IF(EXACT(D841,E841),"Tetap","Diubah")</f>
        <v>Diubah</v>
      </c>
      <c r="H841" s="5" t="s">
        <v>167</v>
      </c>
    </row>
    <row r="842" customFormat="false" ht="23.85" hidden="false" customHeight="false" outlineLevel="0" collapsed="false">
      <c r="A842" s="5" t="n">
        <v>841</v>
      </c>
      <c r="B842" s="5" t="s">
        <v>308</v>
      </c>
      <c r="C842" s="5" t="s">
        <v>488</v>
      </c>
      <c r="D842" s="5" t="s">
        <v>843</v>
      </c>
      <c r="E842" s="5" t="s">
        <v>843</v>
      </c>
      <c r="F842" s="5"/>
      <c r="G842" s="5" t="str">
        <f aca="false">IF(EXACT(D842,E842),"Tetap","Diubah")</f>
        <v>Tetap</v>
      </c>
      <c r="H842" s="5" t="s">
        <v>167</v>
      </c>
    </row>
    <row r="843" customFormat="false" ht="23.85" hidden="false" customHeight="false" outlineLevel="0" collapsed="false">
      <c r="A843" s="5" t="n">
        <v>842</v>
      </c>
      <c r="B843" s="5" t="s">
        <v>308</v>
      </c>
      <c r="C843" s="5" t="s">
        <v>488</v>
      </c>
      <c r="D843" s="5" t="s">
        <v>1641</v>
      </c>
      <c r="E843" s="5" t="s">
        <v>1642</v>
      </c>
      <c r="F843" s="5"/>
      <c r="G843" s="5" t="str">
        <f aca="false">IF(EXACT(D843,E843),"Tetap","Diubah")</f>
        <v>Diubah</v>
      </c>
      <c r="H843" s="5" t="s">
        <v>167</v>
      </c>
    </row>
    <row r="844" customFormat="false" ht="23.85" hidden="false" customHeight="false" outlineLevel="0" collapsed="false">
      <c r="A844" s="5" t="n">
        <v>843</v>
      </c>
      <c r="B844" s="5" t="s">
        <v>308</v>
      </c>
      <c r="C844" s="5" t="s">
        <v>488</v>
      </c>
      <c r="D844" s="5" t="s">
        <v>1643</v>
      </c>
      <c r="E844" s="5" t="s">
        <v>1644</v>
      </c>
      <c r="F844" s="5"/>
      <c r="G844" s="5" t="str">
        <f aca="false">IF(EXACT(D844,E844),"Tetap","Diubah")</f>
        <v>Diubah</v>
      </c>
      <c r="H844" s="5" t="s">
        <v>167</v>
      </c>
    </row>
    <row r="845" customFormat="false" ht="23.85" hidden="false" customHeight="false" outlineLevel="0" collapsed="false">
      <c r="A845" s="5" t="n">
        <v>844</v>
      </c>
      <c r="B845" s="5" t="s">
        <v>308</v>
      </c>
      <c r="C845" s="5" t="s">
        <v>488</v>
      </c>
      <c r="D845" s="5" t="s">
        <v>1645</v>
      </c>
      <c r="E845" s="5" t="s">
        <v>1646</v>
      </c>
      <c r="F845" s="5"/>
      <c r="G845" s="5" t="str">
        <f aca="false">IF(EXACT(D845,E845),"Tetap","Diubah")</f>
        <v>Diubah</v>
      </c>
      <c r="H845" s="5" t="s">
        <v>167</v>
      </c>
    </row>
    <row r="846" customFormat="false" ht="23.85" hidden="false" customHeight="false" outlineLevel="0" collapsed="false">
      <c r="A846" s="5" t="n">
        <v>845</v>
      </c>
      <c r="B846" s="5" t="s">
        <v>308</v>
      </c>
      <c r="C846" s="5" t="s">
        <v>485</v>
      </c>
      <c r="D846" s="5" t="s">
        <v>1647</v>
      </c>
      <c r="E846" s="5" t="s">
        <v>1648</v>
      </c>
      <c r="F846" s="5"/>
      <c r="G846" s="5" t="str">
        <f aca="false">IF(EXACT(D846,E846),"Tetap","Diubah")</f>
        <v>Diubah</v>
      </c>
      <c r="H846" s="5" t="s">
        <v>167</v>
      </c>
    </row>
    <row r="847" customFormat="false" ht="23.85" hidden="false" customHeight="false" outlineLevel="0" collapsed="false">
      <c r="A847" s="5" t="n">
        <v>846</v>
      </c>
      <c r="B847" s="5" t="s">
        <v>308</v>
      </c>
      <c r="C847" s="5" t="s">
        <v>156</v>
      </c>
      <c r="D847" s="5" t="s">
        <v>1649</v>
      </c>
      <c r="E847" s="5" t="s">
        <v>1650</v>
      </c>
      <c r="F847" s="5" t="s">
        <v>1651</v>
      </c>
      <c r="G847" s="5" t="str">
        <f aca="false">IF(EXACT(D847,E847),"Tetap","Diubah")</f>
        <v>Diubah</v>
      </c>
      <c r="H847" s="5" t="s">
        <v>167</v>
      </c>
    </row>
    <row r="848" customFormat="false" ht="23.85" hidden="false" customHeight="false" outlineLevel="0" collapsed="false">
      <c r="A848" s="5" t="n">
        <v>847</v>
      </c>
      <c r="B848" s="5" t="s">
        <v>308</v>
      </c>
      <c r="C848" s="5" t="s">
        <v>20</v>
      </c>
      <c r="D848" s="5" t="s">
        <v>1652</v>
      </c>
      <c r="E848" s="5" t="s">
        <v>1653</v>
      </c>
      <c r="F848" s="5" t="s">
        <v>1654</v>
      </c>
      <c r="G848" s="5" t="str">
        <f aca="false">IF(EXACT(D848,E848),"Tetap","Diubah")</f>
        <v>Diubah</v>
      </c>
      <c r="H848" s="5" t="s">
        <v>167</v>
      </c>
    </row>
    <row r="849" customFormat="false" ht="23.85" hidden="false" customHeight="false" outlineLevel="0" collapsed="false">
      <c r="A849" s="5" t="n">
        <v>848</v>
      </c>
      <c r="B849" s="5" t="s">
        <v>308</v>
      </c>
      <c r="C849" s="5" t="s">
        <v>153</v>
      </c>
      <c r="D849" s="5" t="s">
        <v>1655</v>
      </c>
      <c r="E849" s="5" t="s">
        <v>1656</v>
      </c>
      <c r="F849" s="5" t="s">
        <v>1657</v>
      </c>
      <c r="G849" s="5" t="str">
        <f aca="false">IF(EXACT(D849,E849),"Tetap","Diubah")</f>
        <v>Diubah</v>
      </c>
      <c r="H849" s="5" t="s">
        <v>167</v>
      </c>
    </row>
    <row r="850" customFormat="false" ht="23.85" hidden="false" customHeight="false" outlineLevel="0" collapsed="false">
      <c r="A850" s="5" t="n">
        <v>849</v>
      </c>
      <c r="B850" s="5" t="s">
        <v>308</v>
      </c>
      <c r="C850" s="5" t="s">
        <v>163</v>
      </c>
      <c r="D850" s="5" t="s">
        <v>1658</v>
      </c>
      <c r="E850" s="5" t="s">
        <v>1659</v>
      </c>
      <c r="F850" s="5"/>
      <c r="G850" s="5" t="str">
        <f aca="false">IF(EXACT(D850,E850),"Tetap","Diubah")</f>
        <v>Diubah</v>
      </c>
      <c r="H850" s="5" t="s">
        <v>167</v>
      </c>
    </row>
    <row r="851" customFormat="false" ht="23.85" hidden="false" customHeight="false" outlineLevel="0" collapsed="false">
      <c r="A851" s="5" t="n">
        <v>850</v>
      </c>
      <c r="B851" s="5" t="s">
        <v>308</v>
      </c>
      <c r="C851" s="5" t="s">
        <v>156</v>
      </c>
      <c r="D851" s="5" t="s">
        <v>1660</v>
      </c>
      <c r="E851" s="5" t="s">
        <v>1661</v>
      </c>
      <c r="F851" s="5"/>
      <c r="G851" s="5" t="str">
        <f aca="false">IF(EXACT(D851,E851),"Tetap","Diubah")</f>
        <v>Diubah</v>
      </c>
      <c r="H851" s="5" t="s">
        <v>167</v>
      </c>
    </row>
    <row r="852" customFormat="false" ht="23.85" hidden="false" customHeight="false" outlineLevel="0" collapsed="false">
      <c r="A852" s="5" t="n">
        <v>851</v>
      </c>
      <c r="B852" s="5" t="s">
        <v>308</v>
      </c>
      <c r="C852" s="5" t="s">
        <v>153</v>
      </c>
      <c r="D852" s="5" t="s">
        <v>1662</v>
      </c>
      <c r="E852" s="5" t="s">
        <v>1663</v>
      </c>
      <c r="F852" s="5" t="s">
        <v>1664</v>
      </c>
      <c r="G852" s="5" t="str">
        <f aca="false">IF(EXACT(D852,E852),"Tetap","Diubah")</f>
        <v>Diubah</v>
      </c>
      <c r="H852" s="5" t="s">
        <v>167</v>
      </c>
    </row>
    <row r="853" customFormat="false" ht="23.85" hidden="false" customHeight="false" outlineLevel="0" collapsed="false">
      <c r="A853" s="5" t="n">
        <v>852</v>
      </c>
      <c r="B853" s="5" t="s">
        <v>308</v>
      </c>
      <c r="C853" s="5" t="s">
        <v>156</v>
      </c>
      <c r="D853" s="5" t="s">
        <v>1665</v>
      </c>
      <c r="E853" s="5" t="s">
        <v>1666</v>
      </c>
      <c r="F853" s="5"/>
      <c r="G853" s="5" t="str">
        <f aca="false">IF(EXACT(D853,E853),"Tetap","Diubah")</f>
        <v>Diubah</v>
      </c>
      <c r="H853" s="5" t="s">
        <v>167</v>
      </c>
    </row>
    <row r="854" customFormat="false" ht="23.85" hidden="false" customHeight="false" outlineLevel="0" collapsed="false">
      <c r="A854" s="5" t="n">
        <v>853</v>
      </c>
      <c r="B854" s="5" t="s">
        <v>308</v>
      </c>
      <c r="C854" s="5" t="s">
        <v>175</v>
      </c>
      <c r="D854" s="5" t="s">
        <v>1667</v>
      </c>
      <c r="E854" s="5" t="s">
        <v>1668</v>
      </c>
      <c r="F854" s="5"/>
      <c r="G854" s="5" t="str">
        <f aca="false">IF(EXACT(D854,E854),"Tetap","Diubah")</f>
        <v>Diubah</v>
      </c>
      <c r="H854" s="5" t="s">
        <v>167</v>
      </c>
    </row>
    <row r="855" customFormat="false" ht="23.85" hidden="false" customHeight="false" outlineLevel="0" collapsed="false">
      <c r="A855" s="5" t="n">
        <v>854</v>
      </c>
      <c r="B855" s="5" t="s">
        <v>308</v>
      </c>
      <c r="C855" s="5" t="s">
        <v>163</v>
      </c>
      <c r="D855" s="5" t="s">
        <v>1669</v>
      </c>
      <c r="E855" s="5" t="s">
        <v>1670</v>
      </c>
      <c r="F855" s="5"/>
      <c r="G855" s="5" t="str">
        <f aca="false">IF(EXACT(D855,E855),"Tetap","Diubah")</f>
        <v>Diubah</v>
      </c>
      <c r="H855" s="5" t="s">
        <v>167</v>
      </c>
    </row>
    <row r="856" customFormat="false" ht="35.05" hidden="false" customHeight="false" outlineLevel="0" collapsed="false">
      <c r="A856" s="5" t="n">
        <v>855</v>
      </c>
      <c r="B856" s="5" t="s">
        <v>308</v>
      </c>
      <c r="C856" s="5" t="s">
        <v>156</v>
      </c>
      <c r="D856" s="5" t="s">
        <v>1671</v>
      </c>
      <c r="E856" s="5" t="s">
        <v>1672</v>
      </c>
      <c r="F856" s="5"/>
      <c r="G856" s="5" t="str">
        <f aca="false">IF(EXACT(D856,E856),"Tetap","Diubah")</f>
        <v>Diubah</v>
      </c>
      <c r="H856" s="5" t="s">
        <v>167</v>
      </c>
    </row>
    <row r="857" customFormat="false" ht="23.85" hidden="false" customHeight="false" outlineLevel="0" collapsed="false">
      <c r="A857" s="5" t="n">
        <v>856</v>
      </c>
      <c r="B857" s="5" t="s">
        <v>308</v>
      </c>
      <c r="C857" s="5" t="s">
        <v>153</v>
      </c>
      <c r="D857" s="5" t="s">
        <v>1673</v>
      </c>
      <c r="E857" s="5" t="s">
        <v>1674</v>
      </c>
      <c r="F857" s="5"/>
      <c r="G857" s="5" t="str">
        <f aca="false">IF(EXACT(D857,E857),"Tetap","Diubah")</f>
        <v>Diubah</v>
      </c>
      <c r="H857" s="5" t="s">
        <v>167</v>
      </c>
    </row>
    <row r="858" customFormat="false" ht="23.85" hidden="false" customHeight="false" outlineLevel="0" collapsed="false">
      <c r="A858" s="5" t="n">
        <v>857</v>
      </c>
      <c r="B858" s="5" t="s">
        <v>308</v>
      </c>
      <c r="C858" s="5" t="s">
        <v>153</v>
      </c>
      <c r="D858" s="5" t="s">
        <v>1675</v>
      </c>
      <c r="E858" s="5" t="s">
        <v>1676</v>
      </c>
      <c r="F858" s="5"/>
      <c r="G858" s="5" t="str">
        <f aca="false">IF(EXACT(D858,E858),"Tetap","Diubah")</f>
        <v>Diubah</v>
      </c>
      <c r="H858" s="5" t="s">
        <v>167</v>
      </c>
    </row>
    <row r="859" customFormat="false" ht="23.85" hidden="false" customHeight="false" outlineLevel="0" collapsed="false">
      <c r="A859" s="5" t="n">
        <v>858</v>
      </c>
      <c r="B859" s="5" t="s">
        <v>308</v>
      </c>
      <c r="C859" s="5" t="s">
        <v>20</v>
      </c>
      <c r="D859" s="5" t="s">
        <v>1677</v>
      </c>
      <c r="E859" s="5" t="s">
        <v>1677</v>
      </c>
      <c r="F859" s="5" t="s">
        <v>28</v>
      </c>
      <c r="G859" s="5" t="str">
        <f aca="false">IF(EXACT(D859,E859),"Tetap","Diubah")</f>
        <v>Tetap</v>
      </c>
      <c r="H859" s="5" t="s">
        <v>167</v>
      </c>
    </row>
    <row r="860" customFormat="false" ht="23.85" hidden="false" customHeight="false" outlineLevel="0" collapsed="false">
      <c r="A860" s="5" t="n">
        <v>859</v>
      </c>
      <c r="B860" s="5" t="s">
        <v>308</v>
      </c>
      <c r="C860" s="5" t="s">
        <v>163</v>
      </c>
      <c r="D860" s="5" t="s">
        <v>1678</v>
      </c>
      <c r="E860" s="5" t="s">
        <v>1679</v>
      </c>
      <c r="F860" s="5" t="s">
        <v>1680</v>
      </c>
      <c r="G860" s="5" t="str">
        <f aca="false">IF(EXACT(D860,E860),"Tetap","Diubah")</f>
        <v>Diubah</v>
      </c>
      <c r="H860" s="5" t="s">
        <v>167</v>
      </c>
    </row>
    <row r="861" customFormat="false" ht="23.85" hidden="false" customHeight="false" outlineLevel="0" collapsed="false">
      <c r="A861" s="5" t="n">
        <v>860</v>
      </c>
      <c r="B861" s="5" t="s">
        <v>308</v>
      </c>
      <c r="C861" s="5" t="s">
        <v>156</v>
      </c>
      <c r="D861" s="5" t="s">
        <v>1681</v>
      </c>
      <c r="E861" s="5" t="s">
        <v>1682</v>
      </c>
      <c r="F861" s="5"/>
      <c r="G861" s="5" t="str">
        <f aca="false">IF(EXACT(D861,E861),"Tetap","Diubah")</f>
        <v>Diubah</v>
      </c>
      <c r="H861" s="5" t="s">
        <v>167</v>
      </c>
    </row>
    <row r="862" customFormat="false" ht="23.85" hidden="false" customHeight="false" outlineLevel="0" collapsed="false">
      <c r="A862" s="5" t="n">
        <v>861</v>
      </c>
      <c r="B862" s="5" t="s">
        <v>308</v>
      </c>
      <c r="C862" s="5" t="s">
        <v>153</v>
      </c>
      <c r="D862" s="5" t="s">
        <v>1683</v>
      </c>
      <c r="E862" s="5" t="s">
        <v>1684</v>
      </c>
      <c r="F862" s="5"/>
      <c r="G862" s="5" t="str">
        <f aca="false">IF(EXACT(D862,E862),"Tetap","Diubah")</f>
        <v>Diubah</v>
      </c>
      <c r="H862" s="5" t="s">
        <v>167</v>
      </c>
    </row>
    <row r="863" customFormat="false" ht="23.85" hidden="false" customHeight="false" outlineLevel="0" collapsed="false">
      <c r="A863" s="5" t="n">
        <v>862</v>
      </c>
      <c r="B863" s="5" t="s">
        <v>308</v>
      </c>
      <c r="C863" s="5" t="s">
        <v>163</v>
      </c>
      <c r="D863" s="5" t="s">
        <v>1685</v>
      </c>
      <c r="E863" s="5" t="s">
        <v>1686</v>
      </c>
      <c r="F863" s="5"/>
      <c r="G863" s="5" t="str">
        <f aca="false">IF(EXACT(D863,E863),"Tetap","Diubah")</f>
        <v>Diubah</v>
      </c>
      <c r="H863" s="5" t="s">
        <v>167</v>
      </c>
    </row>
    <row r="864" customFormat="false" ht="23.85" hidden="false" customHeight="false" outlineLevel="0" collapsed="false">
      <c r="A864" s="5" t="n">
        <v>863</v>
      </c>
      <c r="B864" s="5" t="s">
        <v>308</v>
      </c>
      <c r="C864" s="5" t="s">
        <v>156</v>
      </c>
      <c r="D864" s="5" t="s">
        <v>1687</v>
      </c>
      <c r="E864" s="5" t="s">
        <v>1688</v>
      </c>
      <c r="F864" s="5"/>
      <c r="G864" s="5" t="str">
        <f aca="false">IF(EXACT(D864,E864),"Tetap","Diubah")</f>
        <v>Diubah</v>
      </c>
      <c r="H864" s="5" t="s">
        <v>167</v>
      </c>
    </row>
    <row r="865" customFormat="false" ht="23.85" hidden="false" customHeight="false" outlineLevel="0" collapsed="false">
      <c r="A865" s="5" t="n">
        <v>864</v>
      </c>
      <c r="B865" s="5" t="s">
        <v>308</v>
      </c>
      <c r="C865" s="5" t="s">
        <v>153</v>
      </c>
      <c r="D865" s="5" t="s">
        <v>1689</v>
      </c>
      <c r="E865" s="5" t="s">
        <v>949</v>
      </c>
      <c r="F865" s="5"/>
      <c r="G865" s="5" t="str">
        <f aca="false">IF(EXACT(D865,E865),"Tetap","Diubah")</f>
        <v>Diubah</v>
      </c>
      <c r="H865" s="5" t="s">
        <v>167</v>
      </c>
    </row>
    <row r="866" customFormat="false" ht="23.85" hidden="false" customHeight="false" outlineLevel="0" collapsed="false">
      <c r="A866" s="5" t="n">
        <v>865</v>
      </c>
      <c r="B866" s="5" t="s">
        <v>308</v>
      </c>
      <c r="C866" s="5" t="s">
        <v>156</v>
      </c>
      <c r="D866" s="5" t="s">
        <v>1690</v>
      </c>
      <c r="E866" s="5" t="s">
        <v>1690</v>
      </c>
      <c r="F866" s="5"/>
      <c r="G866" s="5" t="str">
        <f aca="false">IF(EXACT(D866,E866),"Tetap","Diubah")</f>
        <v>Tetap</v>
      </c>
      <c r="H866" s="5" t="s">
        <v>167</v>
      </c>
    </row>
    <row r="867" customFormat="false" ht="23.85" hidden="false" customHeight="false" outlineLevel="0" collapsed="false">
      <c r="A867" s="5" t="n">
        <v>866</v>
      </c>
      <c r="B867" s="5" t="s">
        <v>308</v>
      </c>
      <c r="C867" s="5" t="s">
        <v>175</v>
      </c>
      <c r="D867" s="5" t="s">
        <v>1691</v>
      </c>
      <c r="E867" s="5" t="s">
        <v>1692</v>
      </c>
      <c r="F867" s="5"/>
      <c r="G867" s="5" t="str">
        <f aca="false">IF(EXACT(D867,E867),"Tetap","Diubah")</f>
        <v>Diubah</v>
      </c>
      <c r="H867" s="5" t="s">
        <v>167</v>
      </c>
    </row>
    <row r="868" customFormat="false" ht="23.85" hidden="false" customHeight="false" outlineLevel="0" collapsed="false">
      <c r="A868" s="5" t="n">
        <v>867</v>
      </c>
      <c r="B868" s="5" t="s">
        <v>308</v>
      </c>
      <c r="C868" s="5" t="s">
        <v>156</v>
      </c>
      <c r="D868" s="5" t="s">
        <v>1693</v>
      </c>
      <c r="E868" s="5" t="s">
        <v>1694</v>
      </c>
      <c r="F868" s="5"/>
      <c r="G868" s="5" t="str">
        <f aca="false">IF(EXACT(D868,E868),"Tetap","Diubah")</f>
        <v>Diubah</v>
      </c>
      <c r="H868" s="5" t="s">
        <v>167</v>
      </c>
    </row>
    <row r="869" customFormat="false" ht="23.85" hidden="false" customHeight="false" outlineLevel="0" collapsed="false">
      <c r="A869" s="5" t="n">
        <v>868</v>
      </c>
      <c r="B869" s="5" t="s">
        <v>308</v>
      </c>
      <c r="C869" s="5" t="s">
        <v>163</v>
      </c>
      <c r="D869" s="5" t="s">
        <v>1695</v>
      </c>
      <c r="E869" s="5" t="s">
        <v>1696</v>
      </c>
      <c r="F869" s="5"/>
      <c r="G869" s="5" t="str">
        <f aca="false">IF(EXACT(D869,E869),"Tetap","Diubah")</f>
        <v>Diubah</v>
      </c>
      <c r="H869" s="5" t="s">
        <v>167</v>
      </c>
    </row>
    <row r="870" customFormat="false" ht="23.85" hidden="false" customHeight="false" outlineLevel="0" collapsed="false">
      <c r="A870" s="5" t="n">
        <v>869</v>
      </c>
      <c r="B870" s="5" t="s">
        <v>308</v>
      </c>
      <c r="C870" s="5" t="s">
        <v>163</v>
      </c>
      <c r="D870" s="5" t="s">
        <v>1697</v>
      </c>
      <c r="E870" s="5" t="s">
        <v>1698</v>
      </c>
      <c r="F870" s="5"/>
      <c r="G870" s="5" t="str">
        <f aca="false">IF(EXACT(D870,E870),"Tetap","Diubah")</f>
        <v>Diubah</v>
      </c>
      <c r="H870" s="5" t="s">
        <v>167</v>
      </c>
    </row>
    <row r="871" customFormat="false" ht="23.85" hidden="false" customHeight="false" outlineLevel="0" collapsed="false">
      <c r="A871" s="5" t="n">
        <v>870</v>
      </c>
      <c r="B871" s="5" t="s">
        <v>308</v>
      </c>
      <c r="C871" s="5" t="s">
        <v>156</v>
      </c>
      <c r="D871" s="5" t="s">
        <v>1699</v>
      </c>
      <c r="E871" s="5" t="s">
        <v>1700</v>
      </c>
      <c r="F871" s="5"/>
      <c r="G871" s="5" t="str">
        <f aca="false">IF(EXACT(D871,E871),"Tetap","Diubah")</f>
        <v>Diubah</v>
      </c>
      <c r="H871" s="5" t="s">
        <v>167</v>
      </c>
    </row>
    <row r="872" customFormat="false" ht="23.85" hidden="false" customHeight="false" outlineLevel="0" collapsed="false">
      <c r="A872" s="5" t="n">
        <v>871</v>
      </c>
      <c r="B872" s="5" t="s">
        <v>308</v>
      </c>
      <c r="C872" s="5" t="s">
        <v>163</v>
      </c>
      <c r="D872" s="5" t="s">
        <v>1701</v>
      </c>
      <c r="E872" s="5" t="s">
        <v>1702</v>
      </c>
      <c r="F872" s="5"/>
      <c r="G872" s="5" t="str">
        <f aca="false">IF(EXACT(D872,E872),"Tetap","Diubah")</f>
        <v>Diubah</v>
      </c>
      <c r="H872" s="5" t="s">
        <v>167</v>
      </c>
    </row>
    <row r="873" customFormat="false" ht="23.85" hidden="false" customHeight="false" outlineLevel="0" collapsed="false">
      <c r="A873" s="5" t="n">
        <v>872</v>
      </c>
      <c r="B873" s="5" t="s">
        <v>308</v>
      </c>
      <c r="C873" s="5" t="s">
        <v>156</v>
      </c>
      <c r="D873" s="5" t="s">
        <v>1703</v>
      </c>
      <c r="E873" s="5" t="s">
        <v>1704</v>
      </c>
      <c r="F873" s="5"/>
      <c r="G873" s="5" t="str">
        <f aca="false">IF(EXACT(D873,E873),"Tetap","Diubah")</f>
        <v>Diubah</v>
      </c>
      <c r="H873" s="5" t="s">
        <v>167</v>
      </c>
    </row>
    <row r="874" customFormat="false" ht="23.85" hidden="false" customHeight="false" outlineLevel="0" collapsed="false">
      <c r="A874" s="5" t="n">
        <v>873</v>
      </c>
      <c r="B874" s="5" t="s">
        <v>308</v>
      </c>
      <c r="C874" s="5" t="s">
        <v>153</v>
      </c>
      <c r="D874" s="5" t="s">
        <v>1705</v>
      </c>
      <c r="E874" s="5" t="s">
        <v>1706</v>
      </c>
      <c r="F874" s="5" t="s">
        <v>37</v>
      </c>
      <c r="G874" s="5" t="str">
        <f aca="false">IF(EXACT(D874,E874),"Tetap","Diubah")</f>
        <v>Diubah</v>
      </c>
      <c r="H874" s="5" t="s">
        <v>167</v>
      </c>
    </row>
    <row r="875" customFormat="false" ht="23.85" hidden="false" customHeight="false" outlineLevel="0" collapsed="false">
      <c r="A875" s="5" t="n">
        <v>874</v>
      </c>
      <c r="B875" s="5" t="s">
        <v>308</v>
      </c>
      <c r="C875" s="5" t="s">
        <v>163</v>
      </c>
      <c r="D875" s="5" t="s">
        <v>1707</v>
      </c>
      <c r="E875" s="5" t="s">
        <v>1708</v>
      </c>
      <c r="F875" s="5"/>
      <c r="G875" s="5" t="str">
        <f aca="false">IF(EXACT(D875,E875),"Tetap","Diubah")</f>
        <v>Diubah</v>
      </c>
      <c r="H875" s="5" t="s">
        <v>167</v>
      </c>
    </row>
    <row r="876" customFormat="false" ht="23.85" hidden="false" customHeight="false" outlineLevel="0" collapsed="false">
      <c r="A876" s="5" t="n">
        <v>875</v>
      </c>
      <c r="B876" s="5" t="s">
        <v>308</v>
      </c>
      <c r="C876" s="5" t="s">
        <v>156</v>
      </c>
      <c r="D876" s="5" t="s">
        <v>1709</v>
      </c>
      <c r="E876" s="5" t="s">
        <v>1710</v>
      </c>
      <c r="F876" s="5"/>
      <c r="G876" s="5" t="str">
        <f aca="false">IF(EXACT(D876,E876),"Tetap","Diubah")</f>
        <v>Diubah</v>
      </c>
      <c r="H876" s="5" t="s">
        <v>167</v>
      </c>
    </row>
    <row r="877" customFormat="false" ht="23.85" hidden="false" customHeight="false" outlineLevel="0" collapsed="false">
      <c r="A877" s="5" t="n">
        <v>876</v>
      </c>
      <c r="B877" s="5" t="s">
        <v>308</v>
      </c>
      <c r="C877" s="5" t="s">
        <v>20</v>
      </c>
      <c r="D877" s="5" t="s">
        <v>1711</v>
      </c>
      <c r="E877" s="5" t="s">
        <v>1712</v>
      </c>
      <c r="F877" s="5" t="s">
        <v>1713</v>
      </c>
      <c r="G877" s="5" t="str">
        <f aca="false">IF(EXACT(D877,E877),"Tetap","Diubah")</f>
        <v>Diubah</v>
      </c>
      <c r="H877" s="5" t="s">
        <v>167</v>
      </c>
    </row>
    <row r="878" customFormat="false" ht="23.85" hidden="false" customHeight="false" outlineLevel="0" collapsed="false">
      <c r="A878" s="5" t="n">
        <v>877</v>
      </c>
      <c r="B878" s="5" t="s">
        <v>308</v>
      </c>
      <c r="C878" s="5" t="s">
        <v>153</v>
      </c>
      <c r="D878" s="5" t="s">
        <v>1714</v>
      </c>
      <c r="E878" s="5" t="s">
        <v>1715</v>
      </c>
      <c r="F878" s="5"/>
      <c r="G878" s="5" t="str">
        <f aca="false">IF(EXACT(D878,E878),"Tetap","Diubah")</f>
        <v>Diubah</v>
      </c>
      <c r="H878" s="5" t="s">
        <v>167</v>
      </c>
    </row>
    <row r="879" customFormat="false" ht="23.85" hidden="false" customHeight="false" outlineLevel="0" collapsed="false">
      <c r="A879" s="5" t="n">
        <v>878</v>
      </c>
      <c r="B879" s="5" t="s">
        <v>308</v>
      </c>
      <c r="C879" s="5" t="s">
        <v>156</v>
      </c>
      <c r="D879" s="5" t="s">
        <v>1716</v>
      </c>
      <c r="E879" s="5" t="s">
        <v>1717</v>
      </c>
      <c r="F879" s="5"/>
      <c r="G879" s="5" t="str">
        <f aca="false">IF(EXACT(D879,E879),"Tetap","Diubah")</f>
        <v>Diubah</v>
      </c>
      <c r="H879" s="5" t="s">
        <v>167</v>
      </c>
    </row>
    <row r="880" customFormat="false" ht="23.85" hidden="false" customHeight="false" outlineLevel="0" collapsed="false">
      <c r="A880" s="5" t="n">
        <v>879</v>
      </c>
      <c r="B880" s="5" t="s">
        <v>308</v>
      </c>
      <c r="C880" s="5" t="s">
        <v>163</v>
      </c>
      <c r="D880" s="5" t="s">
        <v>1718</v>
      </c>
      <c r="E880" s="5" t="s">
        <v>1719</v>
      </c>
      <c r="F880" s="5"/>
      <c r="G880" s="5" t="str">
        <f aca="false">IF(EXACT(D880,E880),"Tetap","Diubah")</f>
        <v>Diubah</v>
      </c>
      <c r="H880" s="5" t="s">
        <v>167</v>
      </c>
    </row>
    <row r="881" customFormat="false" ht="23.85" hidden="false" customHeight="false" outlineLevel="0" collapsed="false">
      <c r="A881" s="5" t="n">
        <v>880</v>
      </c>
      <c r="B881" s="5" t="s">
        <v>308</v>
      </c>
      <c r="C881" s="5" t="s">
        <v>156</v>
      </c>
      <c r="D881" s="5" t="s">
        <v>1720</v>
      </c>
      <c r="E881" s="5" t="s">
        <v>1721</v>
      </c>
      <c r="F881" s="5"/>
      <c r="G881" s="5" t="str">
        <f aca="false">IF(EXACT(D881,E881),"Tetap","Diubah")</f>
        <v>Diubah</v>
      </c>
      <c r="H881" s="5" t="s">
        <v>167</v>
      </c>
    </row>
    <row r="882" customFormat="false" ht="23.85" hidden="false" customHeight="false" outlineLevel="0" collapsed="false">
      <c r="A882" s="5" t="n">
        <v>881</v>
      </c>
      <c r="B882" s="5" t="s">
        <v>308</v>
      </c>
      <c r="C882" s="5" t="s">
        <v>175</v>
      </c>
      <c r="D882" s="5" t="s">
        <v>1722</v>
      </c>
      <c r="E882" s="5" t="s">
        <v>1723</v>
      </c>
      <c r="F882" s="5"/>
      <c r="G882" s="5" t="str">
        <f aca="false">IF(EXACT(D882,E882),"Tetap","Diubah")</f>
        <v>Diubah</v>
      </c>
      <c r="H882" s="5" t="s">
        <v>167</v>
      </c>
    </row>
    <row r="883" customFormat="false" ht="23.85" hidden="false" customHeight="false" outlineLevel="0" collapsed="false">
      <c r="A883" s="5" t="n">
        <v>882</v>
      </c>
      <c r="B883" s="5" t="s">
        <v>308</v>
      </c>
      <c r="C883" s="5" t="s">
        <v>156</v>
      </c>
      <c r="D883" s="5" t="s">
        <v>1724</v>
      </c>
      <c r="E883" s="5" t="s">
        <v>1725</v>
      </c>
      <c r="F883" s="5"/>
      <c r="G883" s="5" t="str">
        <f aca="false">IF(EXACT(D883,E883),"Tetap","Diubah")</f>
        <v>Diubah</v>
      </c>
      <c r="H883" s="5" t="s">
        <v>167</v>
      </c>
    </row>
    <row r="884" customFormat="false" ht="23.85" hidden="false" customHeight="false" outlineLevel="0" collapsed="false">
      <c r="A884" s="5" t="n">
        <v>883</v>
      </c>
      <c r="B884" s="5" t="s">
        <v>308</v>
      </c>
      <c r="C884" s="5" t="s">
        <v>153</v>
      </c>
      <c r="D884" s="5" t="s">
        <v>1726</v>
      </c>
      <c r="E884" s="5" t="s">
        <v>1727</v>
      </c>
      <c r="F884" s="5" t="s">
        <v>1728</v>
      </c>
      <c r="G884" s="5" t="str">
        <f aca="false">IF(EXACT(D884,E884),"Tetap","Diubah")</f>
        <v>Diubah</v>
      </c>
      <c r="H884" s="5" t="s">
        <v>167</v>
      </c>
    </row>
    <row r="885" customFormat="false" ht="23.85" hidden="false" customHeight="false" outlineLevel="0" collapsed="false">
      <c r="A885" s="5" t="n">
        <v>884</v>
      </c>
      <c r="B885" s="5" t="s">
        <v>308</v>
      </c>
      <c r="C885" s="5" t="s">
        <v>163</v>
      </c>
      <c r="D885" s="5" t="s">
        <v>1729</v>
      </c>
      <c r="E885" s="5" t="s">
        <v>1730</v>
      </c>
      <c r="F885" s="5"/>
      <c r="G885" s="5" t="str">
        <f aca="false">IF(EXACT(D885,E885),"Tetap","Diubah")</f>
        <v>Diubah</v>
      </c>
      <c r="H885" s="5" t="s">
        <v>167</v>
      </c>
    </row>
    <row r="886" customFormat="false" ht="23.85" hidden="false" customHeight="false" outlineLevel="0" collapsed="false">
      <c r="A886" s="5" t="n">
        <v>885</v>
      </c>
      <c r="B886" s="5" t="s">
        <v>308</v>
      </c>
      <c r="C886" s="5" t="s">
        <v>175</v>
      </c>
      <c r="D886" s="5" t="s">
        <v>1731</v>
      </c>
      <c r="E886" s="5" t="s">
        <v>1732</v>
      </c>
      <c r="F886" s="5"/>
      <c r="G886" s="5" t="str">
        <f aca="false">IF(EXACT(D886,E886),"Tetap","Diubah")</f>
        <v>Diubah</v>
      </c>
      <c r="H886" s="5" t="s">
        <v>167</v>
      </c>
    </row>
    <row r="887" customFormat="false" ht="23.85" hidden="false" customHeight="false" outlineLevel="0" collapsed="false">
      <c r="A887" s="5" t="n">
        <v>886</v>
      </c>
      <c r="B887" s="5" t="s">
        <v>308</v>
      </c>
      <c r="C887" s="5" t="s">
        <v>485</v>
      </c>
      <c r="D887" s="5" t="s">
        <v>1733</v>
      </c>
      <c r="E887" s="5" t="s">
        <v>1734</v>
      </c>
      <c r="F887" s="5"/>
      <c r="G887" s="5" t="str">
        <f aca="false">IF(EXACT(D887,E887),"Tetap","Diubah")</f>
        <v>Diubah</v>
      </c>
      <c r="H887" s="5" t="s">
        <v>167</v>
      </c>
    </row>
    <row r="888" customFormat="false" ht="23.85" hidden="false" customHeight="false" outlineLevel="0" collapsed="false">
      <c r="A888" s="5" t="n">
        <v>887</v>
      </c>
      <c r="B888" s="5" t="s">
        <v>308</v>
      </c>
      <c r="C888" s="5" t="s">
        <v>20</v>
      </c>
      <c r="D888" s="5" t="s">
        <v>1735</v>
      </c>
      <c r="E888" s="5" t="s">
        <v>1736</v>
      </c>
      <c r="F888" s="5" t="s">
        <v>1737</v>
      </c>
      <c r="G888" s="5" t="str">
        <f aca="false">IF(EXACT(D888,E888),"Tetap","Diubah")</f>
        <v>Diubah</v>
      </c>
      <c r="H888" s="5" t="s">
        <v>167</v>
      </c>
    </row>
    <row r="889" customFormat="false" ht="23.85" hidden="false" customHeight="false" outlineLevel="0" collapsed="false">
      <c r="A889" s="5" t="n">
        <v>888</v>
      </c>
      <c r="B889" s="5" t="s">
        <v>308</v>
      </c>
      <c r="C889" s="5" t="s">
        <v>153</v>
      </c>
      <c r="D889" s="5" t="s">
        <v>1738</v>
      </c>
      <c r="E889" s="5" t="s">
        <v>1739</v>
      </c>
      <c r="F889" s="5"/>
      <c r="G889" s="5" t="str">
        <f aca="false">IF(EXACT(D889,E889),"Tetap","Diubah")</f>
        <v>Diubah</v>
      </c>
      <c r="H889" s="5" t="s">
        <v>167</v>
      </c>
    </row>
    <row r="890" customFormat="false" ht="23.85" hidden="false" customHeight="false" outlineLevel="0" collapsed="false">
      <c r="A890" s="5" t="n">
        <v>889</v>
      </c>
      <c r="B890" s="5" t="s">
        <v>308</v>
      </c>
      <c r="C890" s="5" t="s">
        <v>156</v>
      </c>
      <c r="D890" s="5" t="s">
        <v>1740</v>
      </c>
      <c r="E890" s="5" t="s">
        <v>1741</v>
      </c>
      <c r="F890" s="5"/>
      <c r="G890" s="5" t="str">
        <f aca="false">IF(EXACT(D890,E890),"Tetap","Diubah")</f>
        <v>Diubah</v>
      </c>
      <c r="H890" s="5" t="s">
        <v>167</v>
      </c>
    </row>
    <row r="891" customFormat="false" ht="23.85" hidden="false" customHeight="false" outlineLevel="0" collapsed="false">
      <c r="A891" s="5" t="n">
        <v>890</v>
      </c>
      <c r="B891" s="5" t="s">
        <v>308</v>
      </c>
      <c r="C891" s="5" t="s">
        <v>153</v>
      </c>
      <c r="D891" s="5" t="s">
        <v>1742</v>
      </c>
      <c r="E891" s="5" t="s">
        <v>1743</v>
      </c>
      <c r="F891" s="5"/>
      <c r="G891" s="5" t="str">
        <f aca="false">IF(EXACT(D891,E891),"Tetap","Diubah")</f>
        <v>Diubah</v>
      </c>
      <c r="H891" s="5" t="s">
        <v>167</v>
      </c>
    </row>
    <row r="892" customFormat="false" ht="23.85" hidden="false" customHeight="false" outlineLevel="0" collapsed="false">
      <c r="A892" s="5" t="n">
        <v>891</v>
      </c>
      <c r="B892" s="5" t="s">
        <v>308</v>
      </c>
      <c r="C892" s="5" t="s">
        <v>20</v>
      </c>
      <c r="D892" s="5" t="s">
        <v>21</v>
      </c>
      <c r="E892" s="5" t="s">
        <v>21</v>
      </c>
      <c r="F892" s="5" t="s">
        <v>28</v>
      </c>
      <c r="G892" s="5" t="str">
        <f aca="false">IF(EXACT(D892,E892),"Tetap","Diubah")</f>
        <v>Tetap</v>
      </c>
      <c r="H892" s="5" t="s">
        <v>167</v>
      </c>
    </row>
    <row r="893" customFormat="false" ht="23.85" hidden="false" customHeight="false" outlineLevel="0" collapsed="false">
      <c r="A893" s="5" t="n">
        <v>892</v>
      </c>
      <c r="B893" s="5" t="s">
        <v>308</v>
      </c>
      <c r="C893" s="5" t="s">
        <v>163</v>
      </c>
      <c r="D893" s="5" t="s">
        <v>1744</v>
      </c>
      <c r="E893" s="5" t="s">
        <v>1744</v>
      </c>
      <c r="F893" s="5"/>
      <c r="G893" s="5" t="str">
        <f aca="false">IF(EXACT(D893,E893),"Tetap","Diubah")</f>
        <v>Tetap</v>
      </c>
      <c r="H893" s="5" t="s">
        <v>167</v>
      </c>
    </row>
    <row r="894" customFormat="false" ht="23.85" hidden="false" customHeight="false" outlineLevel="0" collapsed="false">
      <c r="A894" s="5" t="n">
        <v>893</v>
      </c>
      <c r="B894" s="5" t="s">
        <v>308</v>
      </c>
      <c r="C894" s="5" t="s">
        <v>156</v>
      </c>
      <c r="D894" s="5" t="s">
        <v>1745</v>
      </c>
      <c r="E894" s="5" t="s">
        <v>1746</v>
      </c>
      <c r="F894" s="5"/>
      <c r="G894" s="5" t="str">
        <f aca="false">IF(EXACT(D894,E894),"Tetap","Diubah")</f>
        <v>Diubah</v>
      </c>
      <c r="H894" s="5" t="s">
        <v>167</v>
      </c>
    </row>
    <row r="895" customFormat="false" ht="23.85" hidden="false" customHeight="false" outlineLevel="0" collapsed="false">
      <c r="A895" s="5" t="n">
        <v>894</v>
      </c>
      <c r="B895" s="5" t="s">
        <v>308</v>
      </c>
      <c r="C895" s="5" t="s">
        <v>163</v>
      </c>
      <c r="D895" s="5" t="s">
        <v>1747</v>
      </c>
      <c r="E895" s="5" t="s">
        <v>1748</v>
      </c>
      <c r="F895" s="5"/>
      <c r="G895" s="5" t="str">
        <f aca="false">IF(EXACT(D895,E895),"Tetap","Diubah")</f>
        <v>Diubah</v>
      </c>
      <c r="H895" s="5" t="s">
        <v>167</v>
      </c>
    </row>
    <row r="896" customFormat="false" ht="23.85" hidden="false" customHeight="false" outlineLevel="0" collapsed="false">
      <c r="A896" s="5" t="n">
        <v>895</v>
      </c>
      <c r="B896" s="5" t="s">
        <v>308</v>
      </c>
      <c r="C896" s="5" t="s">
        <v>156</v>
      </c>
      <c r="D896" s="5" t="s">
        <v>1749</v>
      </c>
      <c r="E896" s="5" t="s">
        <v>1750</v>
      </c>
      <c r="F896" s="5"/>
      <c r="G896" s="5" t="str">
        <f aca="false">IF(EXACT(D896,E896),"Tetap","Diubah")</f>
        <v>Diubah</v>
      </c>
      <c r="H896" s="5" t="s">
        <v>167</v>
      </c>
    </row>
    <row r="897" customFormat="false" ht="23.85" hidden="false" customHeight="false" outlineLevel="0" collapsed="false">
      <c r="A897" s="5" t="n">
        <v>896</v>
      </c>
      <c r="B897" s="5" t="s">
        <v>308</v>
      </c>
      <c r="C897" s="5" t="s">
        <v>175</v>
      </c>
      <c r="D897" s="5" t="s">
        <v>1751</v>
      </c>
      <c r="E897" s="5" t="s">
        <v>1752</v>
      </c>
      <c r="F897" s="5"/>
      <c r="G897" s="5" t="str">
        <f aca="false">IF(EXACT(D897,E897),"Tetap","Diubah")</f>
        <v>Diubah</v>
      </c>
      <c r="H897" s="5" t="s">
        <v>167</v>
      </c>
    </row>
    <row r="898" customFormat="false" ht="23.85" hidden="false" customHeight="false" outlineLevel="0" collapsed="false">
      <c r="A898" s="5" t="n">
        <v>897</v>
      </c>
      <c r="B898" s="5" t="s">
        <v>308</v>
      </c>
      <c r="C898" s="5" t="s">
        <v>485</v>
      </c>
      <c r="D898" s="5" t="s">
        <v>1753</v>
      </c>
      <c r="E898" s="5" t="s">
        <v>1754</v>
      </c>
      <c r="F898" s="5"/>
      <c r="G898" s="5" t="str">
        <f aca="false">IF(EXACT(D898,E898),"Tetap","Diubah")</f>
        <v>Diubah</v>
      </c>
      <c r="H898" s="5" t="s">
        <v>167</v>
      </c>
    </row>
    <row r="899" customFormat="false" ht="23.85" hidden="false" customHeight="false" outlineLevel="0" collapsed="false">
      <c r="A899" s="5" t="n">
        <v>898</v>
      </c>
      <c r="B899" s="5" t="s">
        <v>308</v>
      </c>
      <c r="C899" s="5" t="s">
        <v>175</v>
      </c>
      <c r="D899" s="5" t="s">
        <v>1755</v>
      </c>
      <c r="E899" s="5" t="s">
        <v>1756</v>
      </c>
      <c r="F899" s="5"/>
      <c r="G899" s="5" t="str">
        <f aca="false">IF(EXACT(D899,E899),"Tetap","Diubah")</f>
        <v>Diubah</v>
      </c>
      <c r="H899" s="5" t="s">
        <v>167</v>
      </c>
    </row>
    <row r="900" customFormat="false" ht="23.85" hidden="false" customHeight="false" outlineLevel="0" collapsed="false">
      <c r="A900" s="5" t="n">
        <v>899</v>
      </c>
      <c r="B900" s="5" t="s">
        <v>308</v>
      </c>
      <c r="C900" s="5" t="s">
        <v>163</v>
      </c>
      <c r="D900" s="5" t="s">
        <v>1757</v>
      </c>
      <c r="E900" s="5" t="s">
        <v>1758</v>
      </c>
      <c r="F900" s="5" t="s">
        <v>1759</v>
      </c>
      <c r="G900" s="5" t="str">
        <f aca="false">IF(EXACT(D900,E900),"Tetap","Diubah")</f>
        <v>Diubah</v>
      </c>
      <c r="H900" s="5" t="s">
        <v>167</v>
      </c>
    </row>
    <row r="901" customFormat="false" ht="23.85" hidden="false" customHeight="false" outlineLevel="0" collapsed="false">
      <c r="A901" s="5" t="n">
        <v>900</v>
      </c>
      <c r="B901" s="5" t="s">
        <v>308</v>
      </c>
      <c r="C901" s="5" t="s">
        <v>153</v>
      </c>
      <c r="D901" s="5" t="s">
        <v>1184</v>
      </c>
      <c r="E901" s="5" t="s">
        <v>1185</v>
      </c>
      <c r="F901" s="5"/>
      <c r="G901" s="5" t="str">
        <f aca="false">IF(EXACT(D901,E901),"Tetap","Diubah")</f>
        <v>Diubah</v>
      </c>
      <c r="H901" s="5" t="s">
        <v>167</v>
      </c>
    </row>
    <row r="902" customFormat="false" ht="23.85" hidden="false" customHeight="false" outlineLevel="0" collapsed="false">
      <c r="A902" s="5" t="n">
        <v>901</v>
      </c>
      <c r="B902" s="5" t="s">
        <v>308</v>
      </c>
      <c r="C902" s="5" t="s">
        <v>54</v>
      </c>
      <c r="D902" s="5" t="s">
        <v>994</v>
      </c>
      <c r="E902" s="5" t="s">
        <v>994</v>
      </c>
      <c r="F902" s="5"/>
      <c r="G902" s="5" t="str">
        <f aca="false">IF(EXACT(D902,E902),"Tetap","Diubah")</f>
        <v>Tetap</v>
      </c>
      <c r="H902" s="5" t="s">
        <v>167</v>
      </c>
    </row>
    <row r="903" customFormat="false" ht="23.85" hidden="false" customHeight="false" outlineLevel="0" collapsed="false">
      <c r="A903" s="5" t="n">
        <v>902</v>
      </c>
      <c r="B903" s="5" t="s">
        <v>308</v>
      </c>
      <c r="C903" s="5" t="s">
        <v>20</v>
      </c>
      <c r="D903" s="5" t="s">
        <v>1760</v>
      </c>
      <c r="E903" s="5" t="s">
        <v>1761</v>
      </c>
      <c r="F903" s="5"/>
      <c r="G903" s="5" t="str">
        <f aca="false">IF(EXACT(D903,E903),"Tetap","Diubah")</f>
        <v>Diubah</v>
      </c>
      <c r="H903" s="5" t="s">
        <v>167</v>
      </c>
    </row>
    <row r="904" customFormat="false" ht="23.85" hidden="false" customHeight="false" outlineLevel="0" collapsed="false">
      <c r="A904" s="5" t="n">
        <v>903</v>
      </c>
      <c r="B904" s="5" t="s">
        <v>308</v>
      </c>
      <c r="C904" s="5" t="s">
        <v>175</v>
      </c>
      <c r="D904" s="5" t="s">
        <v>1762</v>
      </c>
      <c r="E904" s="5" t="s">
        <v>1763</v>
      </c>
      <c r="F904" s="5"/>
      <c r="G904" s="5" t="str">
        <f aca="false">IF(EXACT(D904,E904),"Tetap","Diubah")</f>
        <v>Diubah</v>
      </c>
      <c r="H904" s="5" t="s">
        <v>167</v>
      </c>
    </row>
    <row r="905" customFormat="false" ht="23.85" hidden="false" customHeight="false" outlineLevel="0" collapsed="false">
      <c r="A905" s="5" t="n">
        <v>904</v>
      </c>
      <c r="B905" s="5" t="s">
        <v>308</v>
      </c>
      <c r="C905" s="5" t="s">
        <v>153</v>
      </c>
      <c r="D905" s="5" t="s">
        <v>1186</v>
      </c>
      <c r="E905" s="5" t="s">
        <v>1187</v>
      </c>
      <c r="F905" s="5"/>
      <c r="G905" s="5" t="str">
        <f aca="false">IF(EXACT(D905,E905),"Tetap","Diubah")</f>
        <v>Diubah</v>
      </c>
      <c r="H905" s="5" t="s">
        <v>167</v>
      </c>
    </row>
    <row r="906" customFormat="false" ht="23.85" hidden="false" customHeight="false" outlineLevel="0" collapsed="false">
      <c r="A906" s="5" t="n">
        <v>905</v>
      </c>
      <c r="B906" s="5" t="s">
        <v>308</v>
      </c>
      <c r="C906" s="5" t="s">
        <v>54</v>
      </c>
      <c r="D906" s="5" t="s">
        <v>1764</v>
      </c>
      <c r="E906" s="5" t="s">
        <v>1765</v>
      </c>
      <c r="F906" s="5" t="s">
        <v>1766</v>
      </c>
      <c r="G906" s="5" t="str">
        <f aca="false">IF(EXACT(D906,E906),"Tetap","Diubah")</f>
        <v>Diubah</v>
      </c>
      <c r="H906" s="5" t="s">
        <v>167</v>
      </c>
    </row>
    <row r="907" customFormat="false" ht="23.85" hidden="false" customHeight="false" outlineLevel="0" collapsed="false">
      <c r="A907" s="5" t="n">
        <v>906</v>
      </c>
      <c r="B907" s="5" t="s">
        <v>308</v>
      </c>
      <c r="C907" s="5" t="s">
        <v>20</v>
      </c>
      <c r="D907" s="5" t="s">
        <v>1767</v>
      </c>
      <c r="E907" s="5" t="s">
        <v>1767</v>
      </c>
      <c r="F907" s="5" t="s">
        <v>28</v>
      </c>
      <c r="G907" s="5" t="str">
        <f aca="false">IF(EXACT(D907,E907),"Tetap","Diubah")</f>
        <v>Tetap</v>
      </c>
      <c r="H907" s="5" t="s">
        <v>167</v>
      </c>
    </row>
    <row r="908" customFormat="false" ht="23.85" hidden="false" customHeight="false" outlineLevel="0" collapsed="false">
      <c r="A908" s="5" t="n">
        <v>907</v>
      </c>
      <c r="B908" s="5" t="s">
        <v>308</v>
      </c>
      <c r="C908" s="5" t="s">
        <v>156</v>
      </c>
      <c r="D908" s="5" t="s">
        <v>1768</v>
      </c>
      <c r="E908" s="5" t="s">
        <v>1769</v>
      </c>
      <c r="F908" s="5"/>
      <c r="G908" s="5" t="str">
        <f aca="false">IF(EXACT(D908,E908),"Tetap","Diubah")</f>
        <v>Diubah</v>
      </c>
      <c r="H908" s="5" t="s">
        <v>167</v>
      </c>
    </row>
    <row r="909" customFormat="false" ht="23.85" hidden="false" customHeight="false" outlineLevel="0" collapsed="false">
      <c r="A909" s="5" t="n">
        <v>908</v>
      </c>
      <c r="B909" s="5" t="s">
        <v>308</v>
      </c>
      <c r="C909" s="5" t="s">
        <v>153</v>
      </c>
      <c r="D909" s="5" t="s">
        <v>1770</v>
      </c>
      <c r="E909" s="5" t="s">
        <v>1771</v>
      </c>
      <c r="F909" s="5"/>
      <c r="G909" s="5" t="str">
        <f aca="false">IF(EXACT(D909,E909),"Tetap","Diubah")</f>
        <v>Diubah</v>
      </c>
      <c r="H909" s="5" t="s">
        <v>167</v>
      </c>
    </row>
    <row r="910" customFormat="false" ht="23.85" hidden="false" customHeight="false" outlineLevel="0" collapsed="false">
      <c r="A910" s="5" t="n">
        <v>909</v>
      </c>
      <c r="B910" s="5" t="s">
        <v>308</v>
      </c>
      <c r="C910" s="5" t="s">
        <v>20</v>
      </c>
      <c r="D910" s="5" t="s">
        <v>1772</v>
      </c>
      <c r="E910" s="5" t="s">
        <v>1773</v>
      </c>
      <c r="F910" s="5"/>
      <c r="G910" s="5" t="str">
        <f aca="false">IF(EXACT(D910,E910),"Tetap","Diubah")</f>
        <v>Diubah</v>
      </c>
      <c r="H910" s="5" t="s">
        <v>167</v>
      </c>
    </row>
    <row r="911" customFormat="false" ht="23.85" hidden="false" customHeight="false" outlineLevel="0" collapsed="false">
      <c r="A911" s="5" t="n">
        <v>910</v>
      </c>
      <c r="B911" s="5" t="s">
        <v>308</v>
      </c>
      <c r="C911" s="5" t="s">
        <v>175</v>
      </c>
      <c r="D911" s="5" t="s">
        <v>1774</v>
      </c>
      <c r="E911" s="5" t="s">
        <v>1775</v>
      </c>
      <c r="F911" s="5"/>
      <c r="G911" s="5" t="str">
        <f aca="false">IF(EXACT(D911,E911),"Tetap","Diubah")</f>
        <v>Diubah</v>
      </c>
      <c r="H911" s="5" t="s">
        <v>167</v>
      </c>
    </row>
    <row r="912" customFormat="false" ht="23.85" hidden="false" customHeight="false" outlineLevel="0" collapsed="false">
      <c r="A912" s="5" t="n">
        <v>911</v>
      </c>
      <c r="B912" s="5" t="s">
        <v>308</v>
      </c>
      <c r="C912" s="5" t="s">
        <v>163</v>
      </c>
      <c r="D912" s="5" t="s">
        <v>1776</v>
      </c>
      <c r="E912" s="5" t="s">
        <v>1777</v>
      </c>
      <c r="F912" s="5" t="s">
        <v>1056</v>
      </c>
      <c r="G912" s="5" t="str">
        <f aca="false">IF(EXACT(D912,E912),"Tetap","Diubah")</f>
        <v>Diubah</v>
      </c>
      <c r="H912" s="5" t="s">
        <v>167</v>
      </c>
    </row>
    <row r="913" customFormat="false" ht="23.85" hidden="false" customHeight="false" outlineLevel="0" collapsed="false">
      <c r="A913" s="5" t="n">
        <v>912</v>
      </c>
      <c r="B913" s="5" t="s">
        <v>308</v>
      </c>
      <c r="C913" s="5" t="s">
        <v>156</v>
      </c>
      <c r="D913" s="5" t="s">
        <v>1778</v>
      </c>
      <c r="E913" s="5" t="s">
        <v>1779</v>
      </c>
      <c r="F913" s="5" t="s">
        <v>1780</v>
      </c>
      <c r="G913" s="5" t="str">
        <f aca="false">IF(EXACT(D913,E913),"Tetap","Diubah")</f>
        <v>Diubah</v>
      </c>
      <c r="H913" s="5" t="s">
        <v>167</v>
      </c>
    </row>
    <row r="914" customFormat="false" ht="23.85" hidden="false" customHeight="false" outlineLevel="0" collapsed="false">
      <c r="A914" s="5" t="n">
        <v>913</v>
      </c>
      <c r="B914" s="5" t="s">
        <v>308</v>
      </c>
      <c r="C914" s="5" t="s">
        <v>156</v>
      </c>
      <c r="D914" s="5" t="s">
        <v>1781</v>
      </c>
      <c r="E914" s="5" t="s">
        <v>1782</v>
      </c>
      <c r="F914" s="5"/>
      <c r="G914" s="5" t="str">
        <f aca="false">IF(EXACT(D914,E914),"Tetap","Diubah")</f>
        <v>Diubah</v>
      </c>
      <c r="H914" s="5" t="s">
        <v>167</v>
      </c>
    </row>
    <row r="915" customFormat="false" ht="23.85" hidden="false" customHeight="false" outlineLevel="0" collapsed="false">
      <c r="A915" s="5" t="n">
        <v>914</v>
      </c>
      <c r="B915" s="5" t="s">
        <v>308</v>
      </c>
      <c r="C915" s="5" t="s">
        <v>163</v>
      </c>
      <c r="D915" s="5" t="s">
        <v>1783</v>
      </c>
      <c r="E915" s="5" t="s">
        <v>1784</v>
      </c>
      <c r="F915" s="5"/>
      <c r="G915" s="5" t="str">
        <f aca="false">IF(EXACT(D915,E915),"Tetap","Diubah")</f>
        <v>Diubah</v>
      </c>
      <c r="H915" s="5" t="s">
        <v>167</v>
      </c>
    </row>
    <row r="916" customFormat="false" ht="23.85" hidden="false" customHeight="false" outlineLevel="0" collapsed="false">
      <c r="A916" s="5" t="n">
        <v>915</v>
      </c>
      <c r="B916" s="5" t="s">
        <v>308</v>
      </c>
      <c r="C916" s="5" t="s">
        <v>156</v>
      </c>
      <c r="D916" s="5" t="s">
        <v>1785</v>
      </c>
      <c r="E916" s="5" t="s">
        <v>1785</v>
      </c>
      <c r="F916" s="5"/>
      <c r="G916" s="5" t="str">
        <f aca="false">IF(EXACT(D916,E916),"Tetap","Diubah")</f>
        <v>Tetap</v>
      </c>
      <c r="H916" s="5" t="s">
        <v>167</v>
      </c>
    </row>
    <row r="917" customFormat="false" ht="23.85" hidden="false" customHeight="false" outlineLevel="0" collapsed="false">
      <c r="A917" s="5" t="n">
        <v>916</v>
      </c>
      <c r="B917" s="5" t="s">
        <v>308</v>
      </c>
      <c r="C917" s="5" t="s">
        <v>153</v>
      </c>
      <c r="D917" s="5" t="s">
        <v>1786</v>
      </c>
      <c r="E917" s="5" t="s">
        <v>1787</v>
      </c>
      <c r="F917" s="5"/>
      <c r="G917" s="5" t="str">
        <f aca="false">IF(EXACT(D917,E917),"Tetap","Diubah")</f>
        <v>Diubah</v>
      </c>
      <c r="H917" s="5" t="s">
        <v>167</v>
      </c>
    </row>
    <row r="918" customFormat="false" ht="23.85" hidden="false" customHeight="false" outlineLevel="0" collapsed="false">
      <c r="A918" s="5" t="n">
        <v>917</v>
      </c>
      <c r="B918" s="5" t="s">
        <v>308</v>
      </c>
      <c r="C918" s="5" t="s">
        <v>156</v>
      </c>
      <c r="D918" s="5" t="s">
        <v>1788</v>
      </c>
      <c r="E918" s="5" t="s">
        <v>1789</v>
      </c>
      <c r="F918" s="5"/>
      <c r="G918" s="5" t="str">
        <f aca="false">IF(EXACT(D918,E918),"Tetap","Diubah")</f>
        <v>Diubah</v>
      </c>
      <c r="H918" s="5" t="s">
        <v>167</v>
      </c>
    </row>
    <row r="919" customFormat="false" ht="23.85" hidden="false" customHeight="false" outlineLevel="0" collapsed="false">
      <c r="A919" s="5" t="n">
        <v>918</v>
      </c>
      <c r="B919" s="5" t="s">
        <v>308</v>
      </c>
      <c r="C919" s="5" t="s">
        <v>163</v>
      </c>
      <c r="D919" s="5" t="s">
        <v>1790</v>
      </c>
      <c r="E919" s="5" t="s">
        <v>1791</v>
      </c>
      <c r="F919" s="5"/>
      <c r="G919" s="5" t="str">
        <f aca="false">IF(EXACT(D919,E919),"Tetap","Diubah")</f>
        <v>Diubah</v>
      </c>
      <c r="H919" s="5" t="s">
        <v>167</v>
      </c>
    </row>
    <row r="920" customFormat="false" ht="23.85" hidden="false" customHeight="false" outlineLevel="0" collapsed="false">
      <c r="A920" s="5" t="n">
        <v>919</v>
      </c>
      <c r="B920" s="5" t="s">
        <v>308</v>
      </c>
      <c r="C920" s="5" t="s">
        <v>163</v>
      </c>
      <c r="D920" s="5" t="s">
        <v>1792</v>
      </c>
      <c r="E920" s="5" t="s">
        <v>1793</v>
      </c>
      <c r="F920" s="5"/>
      <c r="G920" s="5" t="str">
        <f aca="false">IF(EXACT(D920,E920),"Tetap","Diubah")</f>
        <v>Diubah</v>
      </c>
      <c r="H920" s="5" t="s">
        <v>167</v>
      </c>
    </row>
    <row r="921" customFormat="false" ht="23.85" hidden="false" customHeight="false" outlineLevel="0" collapsed="false">
      <c r="A921" s="5" t="n">
        <v>920</v>
      </c>
      <c r="B921" s="5" t="s">
        <v>308</v>
      </c>
      <c r="C921" s="5" t="s">
        <v>485</v>
      </c>
      <c r="D921" s="5" t="s">
        <v>1794</v>
      </c>
      <c r="E921" s="5" t="s">
        <v>1795</v>
      </c>
      <c r="F921" s="5"/>
      <c r="G921" s="5" t="str">
        <f aca="false">IF(EXACT(D921,E921),"Tetap","Diubah")</f>
        <v>Diubah</v>
      </c>
      <c r="H921" s="5" t="s">
        <v>167</v>
      </c>
    </row>
    <row r="922" customFormat="false" ht="23.85" hidden="false" customHeight="false" outlineLevel="0" collapsed="false">
      <c r="A922" s="5" t="n">
        <v>921</v>
      </c>
      <c r="B922" s="5" t="s">
        <v>308</v>
      </c>
      <c r="C922" s="5" t="s">
        <v>163</v>
      </c>
      <c r="D922" s="5" t="s">
        <v>1796</v>
      </c>
      <c r="E922" s="5" t="s">
        <v>1797</v>
      </c>
      <c r="F922" s="5"/>
      <c r="G922" s="5" t="str">
        <f aca="false">IF(EXACT(D922,E922),"Tetap","Diubah")</f>
        <v>Diubah</v>
      </c>
      <c r="H922" s="5" t="s">
        <v>167</v>
      </c>
    </row>
    <row r="923" customFormat="false" ht="23.85" hidden="false" customHeight="false" outlineLevel="0" collapsed="false">
      <c r="A923" s="5" t="n">
        <v>922</v>
      </c>
      <c r="B923" s="5" t="s">
        <v>308</v>
      </c>
      <c r="C923" s="5" t="s">
        <v>156</v>
      </c>
      <c r="D923" s="5" t="s">
        <v>1798</v>
      </c>
      <c r="E923" s="5" t="s">
        <v>1799</v>
      </c>
      <c r="F923" s="5" t="s">
        <v>1800</v>
      </c>
      <c r="G923" s="5" t="str">
        <f aca="false">IF(EXACT(D923,E923),"Tetap","Diubah")</f>
        <v>Diubah</v>
      </c>
      <c r="H923" s="5" t="s">
        <v>167</v>
      </c>
    </row>
    <row r="924" customFormat="false" ht="23.85" hidden="false" customHeight="false" outlineLevel="0" collapsed="false">
      <c r="A924" s="5" t="n">
        <v>923</v>
      </c>
      <c r="B924" s="5" t="s">
        <v>308</v>
      </c>
      <c r="C924" s="5" t="s">
        <v>153</v>
      </c>
      <c r="D924" s="5" t="s">
        <v>1801</v>
      </c>
      <c r="E924" s="5" t="s">
        <v>1802</v>
      </c>
      <c r="F924" s="5"/>
      <c r="G924" s="5" t="str">
        <f aca="false">IF(EXACT(D924,E924),"Tetap","Diubah")</f>
        <v>Diubah</v>
      </c>
      <c r="H924" s="5" t="s">
        <v>167</v>
      </c>
    </row>
    <row r="925" customFormat="false" ht="35.05" hidden="false" customHeight="false" outlineLevel="0" collapsed="false">
      <c r="A925" s="5" t="n">
        <v>924</v>
      </c>
      <c r="B925" s="5" t="s">
        <v>308</v>
      </c>
      <c r="C925" s="5" t="s">
        <v>156</v>
      </c>
      <c r="D925" s="5" t="s">
        <v>1803</v>
      </c>
      <c r="E925" s="5" t="s">
        <v>1804</v>
      </c>
      <c r="F925" s="5" t="s">
        <v>1231</v>
      </c>
      <c r="G925" s="5" t="str">
        <f aca="false">IF(EXACT(D925,E925),"Tetap","Diubah")</f>
        <v>Diubah</v>
      </c>
      <c r="H925" s="5" t="s">
        <v>167</v>
      </c>
    </row>
    <row r="926" customFormat="false" ht="23.85" hidden="false" customHeight="false" outlineLevel="0" collapsed="false">
      <c r="A926" s="5" t="n">
        <v>925</v>
      </c>
      <c r="B926" s="5" t="s">
        <v>308</v>
      </c>
      <c r="C926" s="5" t="s">
        <v>153</v>
      </c>
      <c r="D926" s="5" t="s">
        <v>1805</v>
      </c>
      <c r="E926" s="5" t="s">
        <v>1260</v>
      </c>
      <c r="F926" s="5"/>
      <c r="G926" s="5" t="str">
        <f aca="false">IF(EXACT(D926,E926),"Tetap","Diubah")</f>
        <v>Diubah</v>
      </c>
      <c r="H926" s="5" t="s">
        <v>167</v>
      </c>
    </row>
    <row r="927" customFormat="false" ht="23.85" hidden="false" customHeight="false" outlineLevel="0" collapsed="false">
      <c r="A927" s="5" t="n">
        <v>926</v>
      </c>
      <c r="B927" s="5" t="s">
        <v>308</v>
      </c>
      <c r="C927" s="5" t="s">
        <v>20</v>
      </c>
      <c r="D927" s="5" t="s">
        <v>1806</v>
      </c>
      <c r="E927" s="5" t="s">
        <v>33</v>
      </c>
      <c r="F927" s="5"/>
      <c r="G927" s="5" t="str">
        <f aca="false">IF(EXACT(D927,E927),"Tetap","Diubah")</f>
        <v>Diubah</v>
      </c>
      <c r="H927" s="5" t="s">
        <v>167</v>
      </c>
    </row>
    <row r="928" customFormat="false" ht="23.85" hidden="false" customHeight="false" outlineLevel="0" collapsed="false">
      <c r="A928" s="5" t="n">
        <v>927</v>
      </c>
      <c r="B928" s="5" t="s">
        <v>308</v>
      </c>
      <c r="C928" s="5" t="s">
        <v>175</v>
      </c>
      <c r="D928" s="5" t="s">
        <v>1807</v>
      </c>
      <c r="E928" s="5" t="s">
        <v>1808</v>
      </c>
      <c r="F928" s="5"/>
      <c r="G928" s="5" t="str">
        <f aca="false">IF(EXACT(D928,E928),"Tetap","Diubah")</f>
        <v>Diubah</v>
      </c>
      <c r="H928" s="5" t="s">
        <v>167</v>
      </c>
    </row>
    <row r="929" customFormat="false" ht="23.85" hidden="false" customHeight="false" outlineLevel="0" collapsed="false">
      <c r="A929" s="5" t="n">
        <v>928</v>
      </c>
      <c r="B929" s="5" t="s">
        <v>308</v>
      </c>
      <c r="C929" s="5" t="s">
        <v>156</v>
      </c>
      <c r="D929" s="5" t="s">
        <v>1809</v>
      </c>
      <c r="E929" s="5" t="s">
        <v>1810</v>
      </c>
      <c r="F929" s="5"/>
      <c r="G929" s="5" t="str">
        <f aca="false">IF(EXACT(D929,E929),"Tetap","Diubah")</f>
        <v>Diubah</v>
      </c>
      <c r="H929" s="5" t="s">
        <v>167</v>
      </c>
    </row>
    <row r="930" customFormat="false" ht="23.85" hidden="false" customHeight="false" outlineLevel="0" collapsed="false">
      <c r="A930" s="5" t="n">
        <v>929</v>
      </c>
      <c r="B930" s="5" t="s">
        <v>308</v>
      </c>
      <c r="C930" s="5" t="s">
        <v>153</v>
      </c>
      <c r="D930" s="5" t="s">
        <v>1811</v>
      </c>
      <c r="E930" s="5" t="s">
        <v>1812</v>
      </c>
      <c r="F930" s="5"/>
      <c r="G930" s="5" t="str">
        <f aca="false">IF(EXACT(D930,E930),"Tetap","Diubah")</f>
        <v>Diubah</v>
      </c>
      <c r="H930" s="5" t="s">
        <v>167</v>
      </c>
    </row>
    <row r="931" customFormat="false" ht="23.85" hidden="false" customHeight="false" outlineLevel="0" collapsed="false">
      <c r="A931" s="5" t="n">
        <v>930</v>
      </c>
      <c r="B931" s="5" t="s">
        <v>308</v>
      </c>
      <c r="C931" s="5" t="s">
        <v>175</v>
      </c>
      <c r="D931" s="5" t="s">
        <v>1813</v>
      </c>
      <c r="E931" s="5" t="s">
        <v>1814</v>
      </c>
      <c r="F931" s="5"/>
      <c r="G931" s="5" t="str">
        <f aca="false">IF(EXACT(D931,E931),"Tetap","Diubah")</f>
        <v>Diubah</v>
      </c>
      <c r="H931" s="5" t="s">
        <v>167</v>
      </c>
    </row>
    <row r="932" customFormat="false" ht="23.85" hidden="false" customHeight="false" outlineLevel="0" collapsed="false">
      <c r="A932" s="5" t="n">
        <v>931</v>
      </c>
      <c r="B932" s="5" t="s">
        <v>308</v>
      </c>
      <c r="C932" s="5" t="s">
        <v>156</v>
      </c>
      <c r="D932" s="5" t="s">
        <v>1815</v>
      </c>
      <c r="E932" s="5" t="s">
        <v>1816</v>
      </c>
      <c r="F932" s="5"/>
      <c r="G932" s="5" t="str">
        <f aca="false">IF(EXACT(D932,E932),"Tetap","Diubah")</f>
        <v>Diubah</v>
      </c>
      <c r="H932" s="5" t="s">
        <v>167</v>
      </c>
    </row>
    <row r="933" customFormat="false" ht="23.85" hidden="false" customHeight="false" outlineLevel="0" collapsed="false">
      <c r="A933" s="5" t="n">
        <v>932</v>
      </c>
      <c r="B933" s="5" t="s">
        <v>308</v>
      </c>
      <c r="C933" s="5" t="s">
        <v>485</v>
      </c>
      <c r="D933" s="5" t="s">
        <v>1817</v>
      </c>
      <c r="E933" s="5" t="s">
        <v>1818</v>
      </c>
      <c r="F933" s="5"/>
      <c r="G933" s="5" t="str">
        <f aca="false">IF(EXACT(D933,E933),"Tetap","Diubah")</f>
        <v>Diubah</v>
      </c>
      <c r="H933" s="5" t="s">
        <v>167</v>
      </c>
    </row>
    <row r="934" customFormat="false" ht="23.85" hidden="false" customHeight="false" outlineLevel="0" collapsed="false">
      <c r="A934" s="5" t="n">
        <v>933</v>
      </c>
      <c r="B934" s="5" t="s">
        <v>308</v>
      </c>
      <c r="C934" s="5" t="s">
        <v>20</v>
      </c>
      <c r="D934" s="5" t="s">
        <v>1736</v>
      </c>
      <c r="E934" s="5" t="s">
        <v>1736</v>
      </c>
      <c r="F934" s="5" t="s">
        <v>28</v>
      </c>
      <c r="G934" s="5" t="str">
        <f aca="false">IF(EXACT(D934,E934),"Tetap","Diubah")</f>
        <v>Tetap</v>
      </c>
      <c r="H934" s="5" t="s">
        <v>167</v>
      </c>
    </row>
    <row r="935" customFormat="false" ht="23.85" hidden="false" customHeight="false" outlineLevel="0" collapsed="false">
      <c r="A935" s="5" t="n">
        <v>934</v>
      </c>
      <c r="B935" s="5" t="s">
        <v>308</v>
      </c>
      <c r="C935" s="5" t="s">
        <v>175</v>
      </c>
      <c r="D935" s="5" t="s">
        <v>1819</v>
      </c>
      <c r="E935" s="5" t="s">
        <v>1820</v>
      </c>
      <c r="F935" s="5"/>
      <c r="G935" s="5" t="str">
        <f aca="false">IF(EXACT(D935,E935),"Tetap","Diubah")</f>
        <v>Diubah</v>
      </c>
      <c r="H935" s="5" t="s">
        <v>167</v>
      </c>
    </row>
    <row r="936" customFormat="false" ht="23.85" hidden="false" customHeight="false" outlineLevel="0" collapsed="false">
      <c r="A936" s="5" t="n">
        <v>935</v>
      </c>
      <c r="B936" s="5" t="s">
        <v>308</v>
      </c>
      <c r="C936" s="5" t="s">
        <v>175</v>
      </c>
      <c r="D936" s="5" t="s">
        <v>1821</v>
      </c>
      <c r="E936" s="5" t="s">
        <v>1822</v>
      </c>
      <c r="F936" s="5"/>
      <c r="G936" s="5" t="str">
        <f aca="false">IF(EXACT(D936,E936),"Tetap","Diubah")</f>
        <v>Diubah</v>
      </c>
      <c r="H936" s="5" t="s">
        <v>167</v>
      </c>
    </row>
    <row r="937" customFormat="false" ht="23.85" hidden="false" customHeight="false" outlineLevel="0" collapsed="false">
      <c r="A937" s="5" t="n">
        <v>936</v>
      </c>
      <c r="B937" s="5" t="s">
        <v>308</v>
      </c>
      <c r="C937" s="5" t="s">
        <v>153</v>
      </c>
      <c r="D937" s="5" t="s">
        <v>1823</v>
      </c>
      <c r="E937" s="5" t="s">
        <v>1823</v>
      </c>
      <c r="F937" s="5"/>
      <c r="G937" s="5" t="str">
        <f aca="false">IF(EXACT(D937,E937),"Tetap","Diubah")</f>
        <v>Tetap</v>
      </c>
      <c r="H937" s="5" t="s">
        <v>167</v>
      </c>
    </row>
    <row r="938" customFormat="false" ht="23.85" hidden="false" customHeight="false" outlineLevel="0" collapsed="false">
      <c r="A938" s="5" t="n">
        <v>937</v>
      </c>
      <c r="B938" s="5" t="s">
        <v>308</v>
      </c>
      <c r="C938" s="5" t="s">
        <v>485</v>
      </c>
      <c r="D938" s="5" t="s">
        <v>1824</v>
      </c>
      <c r="E938" s="5" t="s">
        <v>1825</v>
      </c>
      <c r="F938" s="5" t="s">
        <v>1826</v>
      </c>
      <c r="G938" s="5" t="str">
        <f aca="false">IF(EXACT(D938,E938),"Tetap","Diubah")</f>
        <v>Diubah</v>
      </c>
      <c r="H938" s="5" t="s">
        <v>167</v>
      </c>
    </row>
    <row r="939" customFormat="false" ht="23.85" hidden="false" customHeight="false" outlineLevel="0" collapsed="false">
      <c r="A939" s="5" t="n">
        <v>938</v>
      </c>
      <c r="B939" s="5" t="s">
        <v>308</v>
      </c>
      <c r="C939" s="5" t="s">
        <v>156</v>
      </c>
      <c r="D939" s="5" t="s">
        <v>1827</v>
      </c>
      <c r="E939" s="5" t="s">
        <v>1828</v>
      </c>
      <c r="F939" s="5"/>
      <c r="G939" s="5" t="str">
        <f aca="false">IF(EXACT(D939,E939),"Tetap","Diubah")</f>
        <v>Diubah</v>
      </c>
      <c r="H939" s="5" t="s">
        <v>167</v>
      </c>
    </row>
    <row r="940" customFormat="false" ht="23.85" hidden="false" customHeight="false" outlineLevel="0" collapsed="false">
      <c r="A940" s="5" t="n">
        <v>939</v>
      </c>
      <c r="B940" s="5" t="s">
        <v>308</v>
      </c>
      <c r="C940" s="5" t="s">
        <v>20</v>
      </c>
      <c r="D940" s="5" t="s">
        <v>1829</v>
      </c>
      <c r="E940" s="5" t="s">
        <v>1830</v>
      </c>
      <c r="F940" s="5"/>
      <c r="G940" s="5" t="str">
        <f aca="false">IF(EXACT(D940,E940),"Tetap","Diubah")</f>
        <v>Diubah</v>
      </c>
      <c r="H940" s="5" t="s">
        <v>167</v>
      </c>
    </row>
    <row r="941" customFormat="false" ht="23.85" hidden="false" customHeight="false" outlineLevel="0" collapsed="false">
      <c r="A941" s="5" t="n">
        <v>940</v>
      </c>
      <c r="B941" s="5" t="s">
        <v>308</v>
      </c>
      <c r="C941" s="5" t="s">
        <v>153</v>
      </c>
      <c r="D941" s="5" t="s">
        <v>1831</v>
      </c>
      <c r="E941" s="5" t="s">
        <v>1832</v>
      </c>
      <c r="F941" s="5"/>
      <c r="G941" s="5" t="str">
        <f aca="false">IF(EXACT(D941,E941),"Tetap","Diubah")</f>
        <v>Diubah</v>
      </c>
      <c r="H941" s="5" t="s">
        <v>167</v>
      </c>
    </row>
    <row r="942" customFormat="false" ht="23.85" hidden="false" customHeight="false" outlineLevel="0" collapsed="false">
      <c r="A942" s="5" t="n">
        <v>941</v>
      </c>
      <c r="B942" s="5" t="s">
        <v>308</v>
      </c>
      <c r="C942" s="5" t="s">
        <v>153</v>
      </c>
      <c r="D942" s="5" t="s">
        <v>1833</v>
      </c>
      <c r="E942" s="5" t="s">
        <v>1834</v>
      </c>
      <c r="F942" s="5"/>
      <c r="G942" s="5" t="str">
        <f aca="false">IF(EXACT(D942,E942),"Tetap","Diubah")</f>
        <v>Diubah</v>
      </c>
      <c r="H942" s="5" t="s">
        <v>167</v>
      </c>
    </row>
    <row r="943" customFormat="false" ht="23.85" hidden="false" customHeight="false" outlineLevel="0" collapsed="false">
      <c r="A943" s="5" t="n">
        <v>942</v>
      </c>
      <c r="B943" s="5" t="s">
        <v>308</v>
      </c>
      <c r="C943" s="5" t="s">
        <v>156</v>
      </c>
      <c r="D943" s="5" t="s">
        <v>1835</v>
      </c>
      <c r="E943" s="5" t="s">
        <v>1836</v>
      </c>
      <c r="F943" s="5"/>
      <c r="G943" s="5" t="str">
        <f aca="false">IF(EXACT(D943,E943),"Tetap","Diubah")</f>
        <v>Diubah</v>
      </c>
      <c r="H943" s="5" t="s">
        <v>167</v>
      </c>
    </row>
    <row r="944" customFormat="false" ht="23.85" hidden="false" customHeight="false" outlineLevel="0" collapsed="false">
      <c r="A944" s="5" t="n">
        <v>943</v>
      </c>
      <c r="B944" s="5" t="s">
        <v>308</v>
      </c>
      <c r="C944" s="5" t="s">
        <v>485</v>
      </c>
      <c r="D944" s="5" t="s">
        <v>1837</v>
      </c>
      <c r="E944" s="5" t="s">
        <v>1838</v>
      </c>
      <c r="F944" s="5"/>
      <c r="G944" s="5" t="str">
        <f aca="false">IF(EXACT(D944,E944),"Tetap","Diubah")</f>
        <v>Diubah</v>
      </c>
      <c r="H944" s="5" t="s">
        <v>167</v>
      </c>
    </row>
    <row r="945" customFormat="false" ht="23.85" hidden="false" customHeight="false" outlineLevel="0" collapsed="false">
      <c r="A945" s="5" t="n">
        <v>944</v>
      </c>
      <c r="B945" s="5" t="s">
        <v>308</v>
      </c>
      <c r="C945" s="5" t="s">
        <v>20</v>
      </c>
      <c r="D945" s="5" t="s">
        <v>1232</v>
      </c>
      <c r="E945" s="5" t="s">
        <v>1233</v>
      </c>
      <c r="F945" s="5"/>
      <c r="G945" s="5" t="str">
        <f aca="false">IF(EXACT(D945,E945),"Tetap","Diubah")</f>
        <v>Diubah</v>
      </c>
      <c r="H945" s="5" t="s">
        <v>167</v>
      </c>
    </row>
    <row r="946" customFormat="false" ht="23.85" hidden="false" customHeight="false" outlineLevel="0" collapsed="false">
      <c r="A946" s="5" t="n">
        <v>945</v>
      </c>
      <c r="B946" s="5" t="s">
        <v>308</v>
      </c>
      <c r="C946" s="5" t="s">
        <v>175</v>
      </c>
      <c r="D946" s="5" t="s">
        <v>1839</v>
      </c>
      <c r="E946" s="5" t="s">
        <v>1840</v>
      </c>
      <c r="F946" s="5"/>
      <c r="G946" s="5" t="str">
        <f aca="false">IF(EXACT(D946,E946),"Tetap","Diubah")</f>
        <v>Diubah</v>
      </c>
      <c r="H946" s="5" t="s">
        <v>167</v>
      </c>
    </row>
    <row r="947" customFormat="false" ht="23.85" hidden="false" customHeight="false" outlineLevel="0" collapsed="false">
      <c r="A947" s="5" t="n">
        <v>946</v>
      </c>
      <c r="B947" s="5" t="s">
        <v>308</v>
      </c>
      <c r="C947" s="5" t="s">
        <v>156</v>
      </c>
      <c r="D947" s="5" t="s">
        <v>1841</v>
      </c>
      <c r="E947" s="5" t="s">
        <v>1842</v>
      </c>
      <c r="F947" s="5"/>
      <c r="G947" s="5" t="str">
        <f aca="false">IF(EXACT(D947,E947),"Tetap","Diubah")</f>
        <v>Diubah</v>
      </c>
      <c r="H947" s="5" t="s">
        <v>167</v>
      </c>
    </row>
    <row r="948" customFormat="false" ht="23.85" hidden="false" customHeight="false" outlineLevel="0" collapsed="false">
      <c r="A948" s="5" t="n">
        <v>947</v>
      </c>
      <c r="B948" s="5" t="s">
        <v>308</v>
      </c>
      <c r="C948" s="5" t="s">
        <v>163</v>
      </c>
      <c r="D948" s="5" t="s">
        <v>1843</v>
      </c>
      <c r="E948" s="5" t="s">
        <v>1844</v>
      </c>
      <c r="F948" s="5"/>
      <c r="G948" s="5" t="str">
        <f aca="false">IF(EXACT(D948,E948),"Tetap","Diubah")</f>
        <v>Diubah</v>
      </c>
      <c r="H948" s="5" t="s">
        <v>167</v>
      </c>
    </row>
    <row r="949" customFormat="false" ht="23.85" hidden="false" customHeight="false" outlineLevel="0" collapsed="false">
      <c r="A949" s="5" t="n">
        <v>948</v>
      </c>
      <c r="B949" s="5" t="s">
        <v>308</v>
      </c>
      <c r="C949" s="5" t="s">
        <v>485</v>
      </c>
      <c r="D949" s="5" t="s">
        <v>1845</v>
      </c>
      <c r="E949" s="5" t="s">
        <v>1846</v>
      </c>
      <c r="F949" s="5" t="s">
        <v>1847</v>
      </c>
      <c r="G949" s="5" t="str">
        <f aca="false">IF(EXACT(D949,E949),"Tetap","Diubah")</f>
        <v>Diubah</v>
      </c>
      <c r="H949" s="5" t="s">
        <v>167</v>
      </c>
    </row>
    <row r="950" customFormat="false" ht="23.85" hidden="false" customHeight="false" outlineLevel="0" collapsed="false">
      <c r="A950" s="5" t="n">
        <v>949</v>
      </c>
      <c r="B950" s="5" t="s">
        <v>308</v>
      </c>
      <c r="C950" s="5" t="s">
        <v>175</v>
      </c>
      <c r="D950" s="5" t="s">
        <v>1848</v>
      </c>
      <c r="E950" s="5" t="s">
        <v>1849</v>
      </c>
      <c r="F950" s="5"/>
      <c r="G950" s="5" t="str">
        <f aca="false">IF(EXACT(D950,E950),"Tetap","Diubah")</f>
        <v>Diubah</v>
      </c>
      <c r="H950" s="5" t="s">
        <v>167</v>
      </c>
    </row>
    <row r="951" customFormat="false" ht="23.85" hidden="false" customHeight="false" outlineLevel="0" collapsed="false">
      <c r="A951" s="5" t="n">
        <v>950</v>
      </c>
      <c r="B951" s="5" t="s">
        <v>308</v>
      </c>
      <c r="C951" s="5" t="s">
        <v>163</v>
      </c>
      <c r="D951" s="5" t="s">
        <v>1850</v>
      </c>
      <c r="E951" s="5" t="s">
        <v>1739</v>
      </c>
      <c r="F951" s="5"/>
      <c r="G951" s="5" t="str">
        <f aca="false">IF(EXACT(D951,E951),"Tetap","Diubah")</f>
        <v>Diubah</v>
      </c>
      <c r="H951" s="5" t="s">
        <v>167</v>
      </c>
    </row>
    <row r="952" customFormat="false" ht="23.85" hidden="false" customHeight="false" outlineLevel="0" collapsed="false">
      <c r="A952" s="5" t="n">
        <v>951</v>
      </c>
      <c r="B952" s="5" t="s">
        <v>308</v>
      </c>
      <c r="C952" s="5" t="s">
        <v>156</v>
      </c>
      <c r="D952" s="5" t="s">
        <v>1851</v>
      </c>
      <c r="E952" s="5" t="s">
        <v>1852</v>
      </c>
      <c r="F952" s="5"/>
      <c r="G952" s="5" t="str">
        <f aca="false">IF(EXACT(D952,E952),"Tetap","Diubah")</f>
        <v>Diubah</v>
      </c>
      <c r="H952" s="5" t="s">
        <v>167</v>
      </c>
    </row>
    <row r="953" customFormat="false" ht="23.85" hidden="false" customHeight="false" outlineLevel="0" collapsed="false">
      <c r="A953" s="5" t="n">
        <v>952</v>
      </c>
      <c r="B953" s="5" t="s">
        <v>308</v>
      </c>
      <c r="C953" s="5" t="s">
        <v>153</v>
      </c>
      <c r="D953" s="5" t="s">
        <v>1853</v>
      </c>
      <c r="E953" s="5" t="s">
        <v>1854</v>
      </c>
      <c r="F953" s="5"/>
      <c r="G953" s="5" t="str">
        <f aca="false">IF(EXACT(D953,E953),"Tetap","Diubah")</f>
        <v>Diubah</v>
      </c>
      <c r="H953" s="5" t="s">
        <v>167</v>
      </c>
    </row>
    <row r="954" customFormat="false" ht="23.85" hidden="false" customHeight="false" outlineLevel="0" collapsed="false">
      <c r="A954" s="5" t="n">
        <v>953</v>
      </c>
      <c r="B954" s="5" t="s">
        <v>308</v>
      </c>
      <c r="C954" s="5" t="s">
        <v>20</v>
      </c>
      <c r="D954" s="5" t="s">
        <v>1855</v>
      </c>
      <c r="E954" s="5" t="s">
        <v>1323</v>
      </c>
      <c r="F954" s="5"/>
      <c r="G954" s="5" t="str">
        <f aca="false">IF(EXACT(D954,E954),"Tetap","Diubah")</f>
        <v>Diubah</v>
      </c>
      <c r="H954" s="5" t="s">
        <v>167</v>
      </c>
    </row>
    <row r="955" customFormat="false" ht="23.85" hidden="false" customHeight="false" outlineLevel="0" collapsed="false">
      <c r="A955" s="5" t="n">
        <v>954</v>
      </c>
      <c r="B955" s="5" t="s">
        <v>308</v>
      </c>
      <c r="C955" s="5" t="s">
        <v>163</v>
      </c>
      <c r="D955" s="5" t="s">
        <v>1856</v>
      </c>
      <c r="E955" s="5" t="s">
        <v>1856</v>
      </c>
      <c r="F955" s="5"/>
      <c r="G955" s="5" t="str">
        <f aca="false">IF(EXACT(D955,E955),"Tetap","Diubah")</f>
        <v>Tetap</v>
      </c>
      <c r="H955" s="5" t="s">
        <v>167</v>
      </c>
    </row>
    <row r="956" customFormat="false" ht="23.85" hidden="false" customHeight="false" outlineLevel="0" collapsed="false">
      <c r="A956" s="5" t="n">
        <v>955</v>
      </c>
      <c r="B956" s="5" t="s">
        <v>308</v>
      </c>
      <c r="C956" s="5" t="s">
        <v>156</v>
      </c>
      <c r="D956" s="5" t="s">
        <v>1857</v>
      </c>
      <c r="E956" s="5" t="s">
        <v>1858</v>
      </c>
      <c r="F956" s="5"/>
      <c r="G956" s="5" t="str">
        <f aca="false">IF(EXACT(D956,E956),"Tetap","Diubah")</f>
        <v>Diubah</v>
      </c>
      <c r="H956" s="5" t="s">
        <v>167</v>
      </c>
    </row>
    <row r="957" customFormat="false" ht="23.85" hidden="false" customHeight="false" outlineLevel="0" collapsed="false">
      <c r="A957" s="5" t="n">
        <v>956</v>
      </c>
      <c r="B957" s="5" t="s">
        <v>308</v>
      </c>
      <c r="C957" s="5" t="s">
        <v>175</v>
      </c>
      <c r="D957" s="5" t="s">
        <v>1859</v>
      </c>
      <c r="E957" s="5" t="s">
        <v>1860</v>
      </c>
      <c r="F957" s="5"/>
      <c r="G957" s="5" t="str">
        <f aca="false">IF(EXACT(D957,E957),"Tetap","Diubah")</f>
        <v>Diubah</v>
      </c>
      <c r="H957" s="5" t="s">
        <v>167</v>
      </c>
    </row>
    <row r="958" customFormat="false" ht="23.85" hidden="false" customHeight="false" outlineLevel="0" collapsed="false">
      <c r="A958" s="5" t="n">
        <v>957</v>
      </c>
      <c r="B958" s="5" t="s">
        <v>308</v>
      </c>
      <c r="C958" s="5" t="s">
        <v>163</v>
      </c>
      <c r="D958" s="5" t="s">
        <v>1861</v>
      </c>
      <c r="E958" s="5" t="s">
        <v>1862</v>
      </c>
      <c r="F958" s="5"/>
      <c r="G958" s="5" t="str">
        <f aca="false">IF(EXACT(D958,E958),"Tetap","Diubah")</f>
        <v>Diubah</v>
      </c>
      <c r="H958" s="5" t="s">
        <v>167</v>
      </c>
    </row>
    <row r="959" customFormat="false" ht="23.85" hidden="false" customHeight="false" outlineLevel="0" collapsed="false">
      <c r="A959" s="5" t="n">
        <v>958</v>
      </c>
      <c r="B959" s="5" t="s">
        <v>308</v>
      </c>
      <c r="C959" s="5" t="s">
        <v>153</v>
      </c>
      <c r="D959" s="5" t="s">
        <v>1863</v>
      </c>
      <c r="E959" s="5" t="s">
        <v>1864</v>
      </c>
      <c r="F959" s="5"/>
      <c r="G959" s="5" t="str">
        <f aca="false">IF(EXACT(D959,E959),"Tetap","Diubah")</f>
        <v>Diubah</v>
      </c>
      <c r="H959" s="5" t="s">
        <v>167</v>
      </c>
    </row>
    <row r="960" customFormat="false" ht="23.85" hidden="false" customHeight="false" outlineLevel="0" collapsed="false">
      <c r="A960" s="5" t="n">
        <v>959</v>
      </c>
      <c r="B960" s="5" t="s">
        <v>308</v>
      </c>
      <c r="C960" s="5" t="s">
        <v>20</v>
      </c>
      <c r="D960" s="5" t="s">
        <v>1865</v>
      </c>
      <c r="E960" s="5" t="s">
        <v>1866</v>
      </c>
      <c r="F960" s="5"/>
      <c r="G960" s="5" t="str">
        <f aca="false">IF(EXACT(D960,E960),"Tetap","Diubah")</f>
        <v>Diubah</v>
      </c>
      <c r="H960" s="5" t="s">
        <v>167</v>
      </c>
    </row>
    <row r="961" customFormat="false" ht="23.85" hidden="false" customHeight="false" outlineLevel="0" collapsed="false">
      <c r="A961" s="5" t="n">
        <v>960</v>
      </c>
      <c r="B961" s="5" t="s">
        <v>308</v>
      </c>
      <c r="C961" s="5" t="s">
        <v>175</v>
      </c>
      <c r="D961" s="5" t="s">
        <v>1867</v>
      </c>
      <c r="E961" s="5" t="s">
        <v>1868</v>
      </c>
      <c r="F961" s="5"/>
      <c r="G961" s="5" t="str">
        <f aca="false">IF(EXACT(D961,E961),"Tetap","Diubah")</f>
        <v>Diubah</v>
      </c>
      <c r="H961" s="5" t="s">
        <v>167</v>
      </c>
    </row>
    <row r="962" customFormat="false" ht="23.85" hidden="false" customHeight="false" outlineLevel="0" collapsed="false">
      <c r="A962" s="5" t="n">
        <v>961</v>
      </c>
      <c r="B962" s="5" t="s">
        <v>308</v>
      </c>
      <c r="C962" s="5" t="s">
        <v>153</v>
      </c>
      <c r="D962" s="5" t="s">
        <v>1869</v>
      </c>
      <c r="E962" s="5" t="s">
        <v>1330</v>
      </c>
      <c r="F962" s="5"/>
      <c r="G962" s="5" t="str">
        <f aca="false">IF(EXACT(D962,E962),"Tetap","Diubah")</f>
        <v>Diubah</v>
      </c>
      <c r="H962" s="5" t="s">
        <v>167</v>
      </c>
    </row>
    <row r="963" customFormat="false" ht="23.85" hidden="false" customHeight="false" outlineLevel="0" collapsed="false">
      <c r="A963" s="5" t="n">
        <v>962</v>
      </c>
      <c r="B963" s="5" t="s">
        <v>308</v>
      </c>
      <c r="C963" s="5" t="s">
        <v>20</v>
      </c>
      <c r="D963" s="5" t="s">
        <v>1870</v>
      </c>
      <c r="E963" s="5" t="s">
        <v>1870</v>
      </c>
      <c r="F963" s="5" t="s">
        <v>28</v>
      </c>
      <c r="G963" s="5" t="str">
        <f aca="false">IF(EXACT(D963,E963),"Tetap","Diubah")</f>
        <v>Tetap</v>
      </c>
      <c r="H963" s="5" t="s">
        <v>167</v>
      </c>
    </row>
    <row r="964" customFormat="false" ht="23.85" hidden="false" customHeight="false" outlineLevel="0" collapsed="false">
      <c r="A964" s="5" t="n">
        <v>963</v>
      </c>
      <c r="B964" s="5" t="s">
        <v>308</v>
      </c>
      <c r="C964" s="5" t="s">
        <v>175</v>
      </c>
      <c r="D964" s="5" t="s">
        <v>1871</v>
      </c>
      <c r="E964" s="5" t="s">
        <v>1872</v>
      </c>
      <c r="F964" s="5"/>
      <c r="G964" s="5" t="str">
        <f aca="false">IF(EXACT(D964,E964),"Tetap","Diubah")</f>
        <v>Diubah</v>
      </c>
      <c r="H964" s="5" t="s">
        <v>167</v>
      </c>
    </row>
    <row r="965" customFormat="false" ht="23.85" hidden="false" customHeight="false" outlineLevel="0" collapsed="false">
      <c r="A965" s="5" t="n">
        <v>964</v>
      </c>
      <c r="B965" s="5" t="s">
        <v>308</v>
      </c>
      <c r="C965" s="5" t="s">
        <v>156</v>
      </c>
      <c r="D965" s="5" t="s">
        <v>1873</v>
      </c>
      <c r="E965" s="5" t="s">
        <v>1874</v>
      </c>
      <c r="F965" s="5"/>
      <c r="G965" s="5" t="str">
        <f aca="false">IF(EXACT(D965,E965),"Tetap","Diubah")</f>
        <v>Diubah</v>
      </c>
      <c r="H965" s="5" t="s">
        <v>167</v>
      </c>
    </row>
    <row r="966" customFormat="false" ht="23.85" hidden="false" customHeight="false" outlineLevel="0" collapsed="false">
      <c r="A966" s="5" t="n">
        <v>965</v>
      </c>
      <c r="B966" s="5" t="s">
        <v>308</v>
      </c>
      <c r="C966" s="5" t="s">
        <v>153</v>
      </c>
      <c r="D966" s="5" t="s">
        <v>1875</v>
      </c>
      <c r="E966" s="5" t="s">
        <v>1876</v>
      </c>
      <c r="F966" s="5"/>
      <c r="G966" s="5" t="str">
        <f aca="false">IF(EXACT(D966,E966),"Tetap","Diubah")</f>
        <v>Diubah</v>
      </c>
      <c r="H966" s="5" t="s">
        <v>167</v>
      </c>
    </row>
    <row r="967" customFormat="false" ht="23.85" hidden="false" customHeight="false" outlineLevel="0" collapsed="false">
      <c r="A967" s="5" t="n">
        <v>966</v>
      </c>
      <c r="B967" s="5" t="s">
        <v>308</v>
      </c>
      <c r="C967" s="5" t="s">
        <v>156</v>
      </c>
      <c r="D967" s="5" t="s">
        <v>1877</v>
      </c>
      <c r="E967" s="5" t="s">
        <v>1878</v>
      </c>
      <c r="F967" s="5"/>
      <c r="G967" s="5" t="str">
        <f aca="false">IF(EXACT(D967,E967),"Tetap","Diubah")</f>
        <v>Diubah</v>
      </c>
      <c r="H967" s="5" t="s">
        <v>167</v>
      </c>
    </row>
    <row r="968" customFormat="false" ht="23.85" hidden="false" customHeight="false" outlineLevel="0" collapsed="false">
      <c r="A968" s="5" t="n">
        <v>967</v>
      </c>
      <c r="B968" s="5" t="s">
        <v>308</v>
      </c>
      <c r="C968" s="5" t="s">
        <v>485</v>
      </c>
      <c r="D968" s="5" t="s">
        <v>1879</v>
      </c>
      <c r="E968" s="5" t="s">
        <v>1880</v>
      </c>
      <c r="F968" s="5"/>
      <c r="G968" s="5" t="str">
        <f aca="false">IF(EXACT(D968,E968),"Tetap","Diubah")</f>
        <v>Diubah</v>
      </c>
      <c r="H968" s="5" t="s">
        <v>167</v>
      </c>
    </row>
    <row r="969" customFormat="false" ht="23.85" hidden="false" customHeight="false" outlineLevel="0" collapsed="false">
      <c r="A969" s="5" t="n">
        <v>968</v>
      </c>
      <c r="B969" s="5" t="s">
        <v>308</v>
      </c>
      <c r="C969" s="5" t="s">
        <v>20</v>
      </c>
      <c r="D969" s="5" t="s">
        <v>1881</v>
      </c>
      <c r="E969" s="5" t="s">
        <v>1881</v>
      </c>
      <c r="F969" s="5" t="s">
        <v>28</v>
      </c>
      <c r="G969" s="5" t="str">
        <f aca="false">IF(EXACT(D969,E969),"Tetap","Diubah")</f>
        <v>Tetap</v>
      </c>
      <c r="H969" s="5" t="s">
        <v>167</v>
      </c>
    </row>
    <row r="970" customFormat="false" ht="23.85" hidden="false" customHeight="false" outlineLevel="0" collapsed="false">
      <c r="A970" s="5" t="n">
        <v>969</v>
      </c>
      <c r="B970" s="5" t="s">
        <v>308</v>
      </c>
      <c r="C970" s="5" t="s">
        <v>156</v>
      </c>
      <c r="D970" s="5" t="s">
        <v>1882</v>
      </c>
      <c r="E970" s="5" t="s">
        <v>1883</v>
      </c>
      <c r="F970" s="5"/>
      <c r="G970" s="5" t="str">
        <f aca="false">IF(EXACT(D970,E970),"Tetap","Diubah")</f>
        <v>Diubah</v>
      </c>
      <c r="H970" s="5" t="s">
        <v>167</v>
      </c>
    </row>
    <row r="971" customFormat="false" ht="23.85" hidden="false" customHeight="false" outlineLevel="0" collapsed="false">
      <c r="A971" s="5" t="n">
        <v>970</v>
      </c>
      <c r="B971" s="5" t="s">
        <v>308</v>
      </c>
      <c r="C971" s="5" t="s">
        <v>485</v>
      </c>
      <c r="D971" s="5" t="s">
        <v>1884</v>
      </c>
      <c r="E971" s="5" t="s">
        <v>1885</v>
      </c>
      <c r="F971" s="5"/>
      <c r="G971" s="5" t="str">
        <f aca="false">IF(EXACT(D971,E971),"Tetap","Diubah")</f>
        <v>Diubah</v>
      </c>
      <c r="H971" s="5" t="s">
        <v>167</v>
      </c>
    </row>
    <row r="972" customFormat="false" ht="23.85" hidden="false" customHeight="false" outlineLevel="0" collapsed="false">
      <c r="A972" s="5" t="n">
        <v>971</v>
      </c>
      <c r="B972" s="5" t="s">
        <v>308</v>
      </c>
      <c r="C972" s="5" t="s">
        <v>20</v>
      </c>
      <c r="D972" s="5" t="s">
        <v>1886</v>
      </c>
      <c r="E972" s="5" t="s">
        <v>1887</v>
      </c>
      <c r="F972" s="5"/>
      <c r="G972" s="5" t="str">
        <f aca="false">IF(EXACT(D972,E972),"Tetap","Diubah")</f>
        <v>Diubah</v>
      </c>
      <c r="H972" s="5" t="s">
        <v>167</v>
      </c>
    </row>
    <row r="973" customFormat="false" ht="23.85" hidden="false" customHeight="false" outlineLevel="0" collapsed="false">
      <c r="A973" s="5" t="n">
        <v>972</v>
      </c>
      <c r="B973" s="5" t="s">
        <v>308</v>
      </c>
      <c r="C973" s="5" t="s">
        <v>163</v>
      </c>
      <c r="D973" s="5" t="s">
        <v>1888</v>
      </c>
      <c r="E973" s="5" t="s">
        <v>1889</v>
      </c>
      <c r="F973" s="5"/>
      <c r="G973" s="5" t="str">
        <f aca="false">IF(EXACT(D973,E973),"Tetap","Diubah")</f>
        <v>Diubah</v>
      </c>
      <c r="H973" s="5" t="s">
        <v>167</v>
      </c>
    </row>
    <row r="974" customFormat="false" ht="23.85" hidden="false" customHeight="false" outlineLevel="0" collapsed="false">
      <c r="A974" s="5" t="n">
        <v>973</v>
      </c>
      <c r="B974" s="5" t="s">
        <v>308</v>
      </c>
      <c r="C974" s="5" t="s">
        <v>153</v>
      </c>
      <c r="D974" s="5" t="s">
        <v>1890</v>
      </c>
      <c r="E974" s="5" t="s">
        <v>1891</v>
      </c>
      <c r="F974" s="5" t="s">
        <v>1892</v>
      </c>
      <c r="G974" s="5" t="str">
        <f aca="false">IF(EXACT(D974,E974),"Tetap","Diubah")</f>
        <v>Diubah</v>
      </c>
      <c r="H974" s="5" t="s">
        <v>167</v>
      </c>
    </row>
    <row r="975" customFormat="false" ht="23.85" hidden="false" customHeight="false" outlineLevel="0" collapsed="false">
      <c r="A975" s="5" t="n">
        <v>974</v>
      </c>
      <c r="B975" s="5" t="s">
        <v>308</v>
      </c>
      <c r="C975" s="5" t="s">
        <v>153</v>
      </c>
      <c r="D975" s="5" t="s">
        <v>1893</v>
      </c>
      <c r="E975" s="5" t="s">
        <v>1891</v>
      </c>
      <c r="F975" s="5"/>
      <c r="G975" s="5" t="str">
        <f aca="false">IF(EXACT(D975,E975),"Tetap","Diubah")</f>
        <v>Diubah</v>
      </c>
      <c r="H975" s="5" t="s">
        <v>167</v>
      </c>
    </row>
    <row r="976" customFormat="false" ht="23.85" hidden="false" customHeight="false" outlineLevel="0" collapsed="false">
      <c r="A976" s="5" t="n">
        <v>975</v>
      </c>
      <c r="B976" s="5" t="s">
        <v>308</v>
      </c>
      <c r="C976" s="5" t="s">
        <v>153</v>
      </c>
      <c r="D976" s="5" t="s">
        <v>1894</v>
      </c>
      <c r="E976" s="5" t="s">
        <v>1895</v>
      </c>
      <c r="F976" s="5"/>
      <c r="G976" s="5" t="str">
        <f aca="false">IF(EXACT(D976,E976),"Tetap","Diubah")</f>
        <v>Diubah</v>
      </c>
      <c r="H976" s="5" t="s">
        <v>167</v>
      </c>
    </row>
    <row r="977" customFormat="false" ht="23.85" hidden="false" customHeight="false" outlineLevel="0" collapsed="false">
      <c r="A977" s="5" t="n">
        <v>976</v>
      </c>
      <c r="B977" s="5" t="s">
        <v>308</v>
      </c>
      <c r="C977" s="5" t="s">
        <v>163</v>
      </c>
      <c r="D977" s="5" t="s">
        <v>1896</v>
      </c>
      <c r="E977" s="5" t="s">
        <v>1897</v>
      </c>
      <c r="F977" s="5"/>
      <c r="G977" s="5" t="str">
        <f aca="false">IF(EXACT(D977,E977),"Tetap","Diubah")</f>
        <v>Diubah</v>
      </c>
      <c r="H977" s="5" t="s">
        <v>167</v>
      </c>
    </row>
    <row r="978" customFormat="false" ht="23.85" hidden="false" customHeight="false" outlineLevel="0" collapsed="false">
      <c r="A978" s="5" t="n">
        <v>977</v>
      </c>
      <c r="B978" s="5" t="s">
        <v>308</v>
      </c>
      <c r="C978" s="5" t="s">
        <v>485</v>
      </c>
      <c r="D978" s="5" t="s">
        <v>1898</v>
      </c>
      <c r="E978" s="5" t="s">
        <v>1899</v>
      </c>
      <c r="F978" s="5"/>
      <c r="G978" s="5" t="str">
        <f aca="false">IF(EXACT(D978,E978),"Tetap","Diubah")</f>
        <v>Diubah</v>
      </c>
      <c r="H978" s="5" t="s">
        <v>167</v>
      </c>
    </row>
    <row r="979" customFormat="false" ht="23.85" hidden="false" customHeight="false" outlineLevel="0" collapsed="false">
      <c r="A979" s="5" t="n">
        <v>978</v>
      </c>
      <c r="B979" s="5" t="s">
        <v>308</v>
      </c>
      <c r="C979" s="5" t="s">
        <v>20</v>
      </c>
      <c r="D979" s="5" t="s">
        <v>1900</v>
      </c>
      <c r="E979" s="5" t="s">
        <v>1901</v>
      </c>
      <c r="F979" s="5"/>
      <c r="G979" s="5" t="str">
        <f aca="false">IF(EXACT(D979,E979),"Tetap","Diubah")</f>
        <v>Diubah</v>
      </c>
      <c r="H979" s="5" t="s">
        <v>167</v>
      </c>
    </row>
    <row r="980" customFormat="false" ht="23.85" hidden="false" customHeight="false" outlineLevel="0" collapsed="false">
      <c r="A980" s="5" t="n">
        <v>979</v>
      </c>
      <c r="B980" s="5" t="s">
        <v>308</v>
      </c>
      <c r="C980" s="5" t="s">
        <v>156</v>
      </c>
      <c r="D980" s="5" t="s">
        <v>1902</v>
      </c>
      <c r="E980" s="5" t="s">
        <v>1903</v>
      </c>
      <c r="F980" s="5"/>
      <c r="G980" s="5" t="str">
        <f aca="false">IF(EXACT(D980,E980),"Tetap","Diubah")</f>
        <v>Diubah</v>
      </c>
      <c r="H980" s="5" t="s">
        <v>167</v>
      </c>
    </row>
    <row r="981" customFormat="false" ht="23.85" hidden="false" customHeight="false" outlineLevel="0" collapsed="false">
      <c r="A981" s="5" t="n">
        <v>980</v>
      </c>
      <c r="B981" s="5" t="s">
        <v>308</v>
      </c>
      <c r="C981" s="5" t="s">
        <v>175</v>
      </c>
      <c r="D981" s="5" t="s">
        <v>1904</v>
      </c>
      <c r="E981" s="5" t="s">
        <v>1905</v>
      </c>
      <c r="F981" s="5"/>
      <c r="G981" s="5" t="str">
        <f aca="false">IF(EXACT(D981,E981),"Tetap","Diubah")</f>
        <v>Diubah</v>
      </c>
      <c r="H981" s="5" t="s">
        <v>167</v>
      </c>
    </row>
    <row r="982" customFormat="false" ht="23.85" hidden="false" customHeight="false" outlineLevel="0" collapsed="false">
      <c r="A982" s="5" t="n">
        <v>981</v>
      </c>
      <c r="B982" s="5" t="s">
        <v>308</v>
      </c>
      <c r="C982" s="5" t="s">
        <v>156</v>
      </c>
      <c r="D982" s="5" t="s">
        <v>1906</v>
      </c>
      <c r="E982" s="5" t="s">
        <v>1907</v>
      </c>
      <c r="F982" s="5"/>
      <c r="G982" s="5" t="str">
        <f aca="false">IF(EXACT(D982,E982),"Tetap","Diubah")</f>
        <v>Diubah</v>
      </c>
      <c r="H982" s="5" t="s">
        <v>167</v>
      </c>
    </row>
    <row r="983" customFormat="false" ht="23.85" hidden="false" customHeight="false" outlineLevel="0" collapsed="false">
      <c r="A983" s="5" t="n">
        <v>982</v>
      </c>
      <c r="B983" s="5" t="s">
        <v>308</v>
      </c>
      <c r="C983" s="5" t="s">
        <v>153</v>
      </c>
      <c r="D983" s="5" t="s">
        <v>1908</v>
      </c>
      <c r="E983" s="5" t="s">
        <v>1909</v>
      </c>
      <c r="F983" s="5"/>
      <c r="G983" s="5" t="str">
        <f aca="false">IF(EXACT(D983,E983),"Tetap","Diubah")</f>
        <v>Diubah</v>
      </c>
      <c r="H983" s="5" t="s">
        <v>167</v>
      </c>
    </row>
    <row r="984" customFormat="false" ht="23.85" hidden="false" customHeight="false" outlineLevel="0" collapsed="false">
      <c r="A984" s="5" t="n">
        <v>983</v>
      </c>
      <c r="B984" s="5" t="s">
        <v>308</v>
      </c>
      <c r="C984" s="5" t="s">
        <v>156</v>
      </c>
      <c r="D984" s="5" t="s">
        <v>1910</v>
      </c>
      <c r="E984" s="5" t="s">
        <v>1911</v>
      </c>
      <c r="F984" s="5"/>
      <c r="G984" s="5" t="str">
        <f aca="false">IF(EXACT(D984,E984),"Tetap","Diubah")</f>
        <v>Diubah</v>
      </c>
      <c r="H984" s="5" t="s">
        <v>167</v>
      </c>
    </row>
    <row r="985" customFormat="false" ht="23.85" hidden="false" customHeight="false" outlineLevel="0" collapsed="false">
      <c r="A985" s="5" t="n">
        <v>984</v>
      </c>
      <c r="B985" s="5" t="s">
        <v>308</v>
      </c>
      <c r="C985" s="5" t="s">
        <v>163</v>
      </c>
      <c r="D985" s="5" t="s">
        <v>1912</v>
      </c>
      <c r="E985" s="5" t="s">
        <v>1913</v>
      </c>
      <c r="F985" s="5"/>
      <c r="G985" s="5" t="str">
        <f aca="false">IF(EXACT(D985,E985),"Tetap","Diubah")</f>
        <v>Diubah</v>
      </c>
      <c r="H985" s="5" t="s">
        <v>167</v>
      </c>
    </row>
    <row r="986" customFormat="false" ht="23.85" hidden="false" customHeight="false" outlineLevel="0" collapsed="false">
      <c r="A986" s="5" t="n">
        <v>985</v>
      </c>
      <c r="B986" s="5" t="s">
        <v>308</v>
      </c>
      <c r="C986" s="5" t="s">
        <v>156</v>
      </c>
      <c r="D986" s="5" t="s">
        <v>1914</v>
      </c>
      <c r="E986" s="5" t="s">
        <v>1915</v>
      </c>
      <c r="F986" s="5"/>
      <c r="G986" s="5" t="str">
        <f aca="false">IF(EXACT(D986,E986),"Tetap","Diubah")</f>
        <v>Diubah</v>
      </c>
      <c r="H986" s="5" t="s">
        <v>167</v>
      </c>
    </row>
    <row r="987" customFormat="false" ht="23.85" hidden="false" customHeight="false" outlineLevel="0" collapsed="false">
      <c r="A987" s="5" t="n">
        <v>986</v>
      </c>
      <c r="B987" s="5" t="s">
        <v>308</v>
      </c>
      <c r="C987" s="5" t="s">
        <v>153</v>
      </c>
      <c r="D987" s="5" t="s">
        <v>1916</v>
      </c>
      <c r="E987" s="5" t="s">
        <v>1917</v>
      </c>
      <c r="F987" s="5"/>
      <c r="G987" s="5" t="str">
        <f aca="false">IF(EXACT(D987,E987),"Tetap","Diubah")</f>
        <v>Diubah</v>
      </c>
      <c r="H987" s="5" t="s">
        <v>167</v>
      </c>
    </row>
    <row r="988" customFormat="false" ht="23.85" hidden="false" customHeight="false" outlineLevel="0" collapsed="false">
      <c r="A988" s="5" t="n">
        <v>987</v>
      </c>
      <c r="B988" s="5" t="s">
        <v>308</v>
      </c>
      <c r="C988" s="5" t="s">
        <v>485</v>
      </c>
      <c r="D988" s="5" t="s">
        <v>1918</v>
      </c>
      <c r="E988" s="5" t="s">
        <v>1919</v>
      </c>
      <c r="F988" s="5" t="s">
        <v>1920</v>
      </c>
      <c r="G988" s="5" t="str">
        <f aca="false">IF(EXACT(D988,E988),"Tetap","Diubah")</f>
        <v>Diubah</v>
      </c>
      <c r="H988" s="5" t="s">
        <v>167</v>
      </c>
    </row>
    <row r="989" customFormat="false" ht="23.85" hidden="false" customHeight="false" outlineLevel="0" collapsed="false">
      <c r="A989" s="5" t="n">
        <v>988</v>
      </c>
      <c r="B989" s="5" t="s">
        <v>308</v>
      </c>
      <c r="C989" s="5" t="s">
        <v>163</v>
      </c>
      <c r="D989" s="5" t="s">
        <v>1921</v>
      </c>
      <c r="E989" s="5" t="s">
        <v>1922</v>
      </c>
      <c r="F989" s="5"/>
      <c r="G989" s="5" t="str">
        <f aca="false">IF(EXACT(D989,E989),"Tetap","Diubah")</f>
        <v>Diubah</v>
      </c>
      <c r="H989" s="5" t="s">
        <v>167</v>
      </c>
    </row>
    <row r="990" customFormat="false" ht="23.85" hidden="false" customHeight="false" outlineLevel="0" collapsed="false">
      <c r="A990" s="5" t="n">
        <v>989</v>
      </c>
      <c r="B990" s="5" t="s">
        <v>308</v>
      </c>
      <c r="C990" s="5" t="s">
        <v>156</v>
      </c>
      <c r="D990" s="5" t="s">
        <v>1923</v>
      </c>
      <c r="E990" s="5" t="s">
        <v>1924</v>
      </c>
      <c r="F990" s="5"/>
      <c r="G990" s="5" t="str">
        <f aca="false">IF(EXACT(D990,E990),"Tetap","Diubah")</f>
        <v>Diubah</v>
      </c>
      <c r="H990" s="5" t="s">
        <v>167</v>
      </c>
    </row>
    <row r="991" customFormat="false" ht="23.85" hidden="false" customHeight="false" outlineLevel="0" collapsed="false">
      <c r="A991" s="5" t="n">
        <v>990</v>
      </c>
      <c r="B991" s="5" t="s">
        <v>308</v>
      </c>
      <c r="C991" s="5" t="s">
        <v>153</v>
      </c>
      <c r="D991" s="5" t="s">
        <v>1925</v>
      </c>
      <c r="E991" s="5" t="s">
        <v>1926</v>
      </c>
      <c r="F991" s="5"/>
      <c r="G991" s="5" t="str">
        <f aca="false">IF(EXACT(D991,E991),"Tetap","Diubah")</f>
        <v>Diubah</v>
      </c>
      <c r="H991" s="5" t="s">
        <v>167</v>
      </c>
    </row>
    <row r="992" customFormat="false" ht="23.85" hidden="false" customHeight="false" outlineLevel="0" collapsed="false">
      <c r="A992" s="5" t="n">
        <v>991</v>
      </c>
      <c r="B992" s="5" t="s">
        <v>308</v>
      </c>
      <c r="C992" s="5" t="s">
        <v>156</v>
      </c>
      <c r="D992" s="5" t="s">
        <v>1927</v>
      </c>
      <c r="E992" s="5" t="s">
        <v>1928</v>
      </c>
      <c r="F992" s="5"/>
      <c r="G992" s="5" t="str">
        <f aca="false">IF(EXACT(D992,E992),"Tetap","Diubah")</f>
        <v>Diubah</v>
      </c>
      <c r="H992" s="5" t="s">
        <v>167</v>
      </c>
    </row>
    <row r="993" customFormat="false" ht="23.85" hidden="false" customHeight="false" outlineLevel="0" collapsed="false">
      <c r="A993" s="5" t="n">
        <v>992</v>
      </c>
      <c r="B993" s="5" t="s">
        <v>308</v>
      </c>
      <c r="C993" s="5" t="s">
        <v>153</v>
      </c>
      <c r="D993" s="5" t="s">
        <v>1929</v>
      </c>
      <c r="E993" s="5" t="s">
        <v>1930</v>
      </c>
      <c r="F993" s="5"/>
      <c r="G993" s="5" t="str">
        <f aca="false">IF(EXACT(D993,E993),"Tetap","Diubah")</f>
        <v>Diubah</v>
      </c>
      <c r="H993" s="5" t="s">
        <v>167</v>
      </c>
    </row>
    <row r="994" customFormat="false" ht="23.85" hidden="false" customHeight="false" outlineLevel="0" collapsed="false">
      <c r="A994" s="5" t="n">
        <v>993</v>
      </c>
      <c r="B994" s="5" t="s">
        <v>308</v>
      </c>
      <c r="C994" s="5" t="s">
        <v>156</v>
      </c>
      <c r="D994" s="5" t="s">
        <v>1931</v>
      </c>
      <c r="E994" s="5" t="s">
        <v>1932</v>
      </c>
      <c r="F994" s="5"/>
      <c r="G994" s="5" t="str">
        <f aca="false">IF(EXACT(D994,E994),"Tetap","Diubah")</f>
        <v>Diubah</v>
      </c>
      <c r="H994" s="5" t="s">
        <v>167</v>
      </c>
    </row>
    <row r="995" customFormat="false" ht="23.85" hidden="false" customHeight="false" outlineLevel="0" collapsed="false">
      <c r="A995" s="5" t="n">
        <v>994</v>
      </c>
      <c r="B995" s="5" t="s">
        <v>308</v>
      </c>
      <c r="C995" s="5" t="s">
        <v>175</v>
      </c>
      <c r="D995" s="5" t="s">
        <v>1933</v>
      </c>
      <c r="E995" s="5" t="s">
        <v>1934</v>
      </c>
      <c r="F995" s="5"/>
      <c r="G995" s="5" t="str">
        <f aca="false">IF(EXACT(D995,E995),"Tetap","Diubah")</f>
        <v>Diubah</v>
      </c>
      <c r="H995" s="5" t="s">
        <v>167</v>
      </c>
    </row>
    <row r="996" customFormat="false" ht="23.85" hidden="false" customHeight="false" outlineLevel="0" collapsed="false">
      <c r="A996" s="5" t="n">
        <v>995</v>
      </c>
      <c r="B996" s="5" t="s">
        <v>308</v>
      </c>
      <c r="C996" s="5" t="s">
        <v>163</v>
      </c>
      <c r="D996" s="5" t="s">
        <v>1935</v>
      </c>
      <c r="E996" s="5" t="s">
        <v>1936</v>
      </c>
      <c r="F996" s="5"/>
      <c r="G996" s="5" t="str">
        <f aca="false">IF(EXACT(D996,E996),"Tetap","Diubah")</f>
        <v>Diubah</v>
      </c>
      <c r="H996" s="5" t="s">
        <v>167</v>
      </c>
    </row>
    <row r="997" customFormat="false" ht="23.85" hidden="false" customHeight="false" outlineLevel="0" collapsed="false">
      <c r="A997" s="5" t="n">
        <v>996</v>
      </c>
      <c r="B997" s="5" t="s">
        <v>308</v>
      </c>
      <c r="C997" s="5" t="s">
        <v>163</v>
      </c>
      <c r="D997" s="5" t="s">
        <v>1937</v>
      </c>
      <c r="E997" s="5" t="s">
        <v>1938</v>
      </c>
      <c r="F997" s="5"/>
      <c r="G997" s="5" t="str">
        <f aca="false">IF(EXACT(D997,E997),"Tetap","Diubah")</f>
        <v>Diubah</v>
      </c>
      <c r="H997" s="5" t="s">
        <v>167</v>
      </c>
    </row>
    <row r="998" customFormat="false" ht="23.85" hidden="false" customHeight="false" outlineLevel="0" collapsed="false">
      <c r="A998" s="5" t="n">
        <v>997</v>
      </c>
      <c r="B998" s="5" t="s">
        <v>308</v>
      </c>
      <c r="C998" s="5" t="s">
        <v>153</v>
      </c>
      <c r="D998" s="5" t="s">
        <v>1939</v>
      </c>
      <c r="E998" s="5" t="s">
        <v>1940</v>
      </c>
      <c r="F998" s="5"/>
      <c r="G998" s="5" t="str">
        <f aca="false">IF(EXACT(D998,E998),"Tetap","Diubah")</f>
        <v>Diubah</v>
      </c>
      <c r="H998" s="5" t="s">
        <v>167</v>
      </c>
    </row>
    <row r="999" customFormat="false" ht="23.85" hidden="false" customHeight="false" outlineLevel="0" collapsed="false">
      <c r="A999" s="5" t="n">
        <v>998</v>
      </c>
      <c r="B999" s="5" t="s">
        <v>308</v>
      </c>
      <c r="C999" s="5" t="s">
        <v>163</v>
      </c>
      <c r="D999" s="5" t="s">
        <v>1941</v>
      </c>
      <c r="E999" s="5" t="s">
        <v>1942</v>
      </c>
      <c r="F999" s="5"/>
      <c r="G999" s="5" t="str">
        <f aca="false">IF(EXACT(D999,E999),"Tetap","Diubah")</f>
        <v>Diubah</v>
      </c>
      <c r="H999" s="5" t="s">
        <v>167</v>
      </c>
    </row>
    <row r="1000" customFormat="false" ht="23.85" hidden="false" customHeight="false" outlineLevel="0" collapsed="false">
      <c r="A1000" s="5" t="n">
        <v>999</v>
      </c>
      <c r="B1000" s="5" t="s">
        <v>308</v>
      </c>
      <c r="C1000" s="5" t="s">
        <v>20</v>
      </c>
      <c r="D1000" s="5" t="s">
        <v>1943</v>
      </c>
      <c r="E1000" s="5" t="s">
        <v>1944</v>
      </c>
      <c r="F1000" s="5"/>
      <c r="G1000" s="5" t="str">
        <f aca="false">IF(EXACT(D1000,E1000),"Tetap","Diubah")</f>
        <v>Diubah</v>
      </c>
      <c r="H1000" s="5" t="s">
        <v>167</v>
      </c>
    </row>
    <row r="1001" customFormat="false" ht="23.85" hidden="false" customHeight="false" outlineLevel="0" collapsed="false">
      <c r="A1001" s="5" t="n">
        <v>1000</v>
      </c>
      <c r="B1001" s="5" t="s">
        <v>308</v>
      </c>
      <c r="C1001" s="5" t="s">
        <v>156</v>
      </c>
      <c r="D1001" s="5" t="s">
        <v>1945</v>
      </c>
      <c r="E1001" s="5" t="s">
        <v>1946</v>
      </c>
      <c r="F1001" s="5"/>
      <c r="G1001" s="5" t="str">
        <f aca="false">IF(EXACT(D1001,E1001),"Tetap","Diubah")</f>
        <v>Diubah</v>
      </c>
      <c r="H1001" s="5" t="s">
        <v>167</v>
      </c>
    </row>
    <row r="1002" customFormat="false" ht="23.85" hidden="false" customHeight="false" outlineLevel="0" collapsed="false">
      <c r="A1002" s="5" t="n">
        <v>1001</v>
      </c>
      <c r="B1002" s="5" t="s">
        <v>308</v>
      </c>
      <c r="C1002" s="5" t="s">
        <v>163</v>
      </c>
      <c r="D1002" s="5" t="s">
        <v>1947</v>
      </c>
      <c r="E1002" s="5" t="s">
        <v>1948</v>
      </c>
      <c r="F1002" s="5"/>
      <c r="G1002" s="5" t="str">
        <f aca="false">IF(EXACT(D1002,E1002),"Tetap","Diubah")</f>
        <v>Diubah</v>
      </c>
      <c r="H1002" s="5" t="s">
        <v>167</v>
      </c>
    </row>
    <row r="1003" customFormat="false" ht="23.85" hidden="false" customHeight="false" outlineLevel="0" collapsed="false">
      <c r="A1003" s="5" t="n">
        <v>1002</v>
      </c>
      <c r="B1003" s="5" t="s">
        <v>308</v>
      </c>
      <c r="C1003" s="5" t="s">
        <v>156</v>
      </c>
      <c r="D1003" s="5" t="s">
        <v>1949</v>
      </c>
      <c r="E1003" s="5" t="s">
        <v>1950</v>
      </c>
      <c r="F1003" s="5" t="s">
        <v>1951</v>
      </c>
      <c r="G1003" s="5" t="str">
        <f aca="false">IF(EXACT(D1003,E1003),"Tetap","Diubah")</f>
        <v>Diubah</v>
      </c>
      <c r="H1003" s="5" t="s">
        <v>167</v>
      </c>
    </row>
    <row r="1004" customFormat="false" ht="23.85" hidden="false" customHeight="false" outlineLevel="0" collapsed="false">
      <c r="A1004" s="5" t="n">
        <v>1003</v>
      </c>
      <c r="B1004" s="5" t="s">
        <v>308</v>
      </c>
      <c r="C1004" s="5" t="s">
        <v>153</v>
      </c>
      <c r="D1004" s="5" t="s">
        <v>1952</v>
      </c>
      <c r="E1004" s="5" t="s">
        <v>1953</v>
      </c>
      <c r="F1004" s="5"/>
      <c r="G1004" s="5" t="str">
        <f aca="false">IF(EXACT(D1004,E1004),"Tetap","Diubah")</f>
        <v>Diubah</v>
      </c>
      <c r="H1004" s="5" t="s">
        <v>167</v>
      </c>
    </row>
    <row r="1005" customFormat="false" ht="23.85" hidden="false" customHeight="false" outlineLevel="0" collapsed="false">
      <c r="A1005" s="5" t="n">
        <v>1004</v>
      </c>
      <c r="B1005" s="5" t="s">
        <v>308</v>
      </c>
      <c r="C1005" s="5" t="s">
        <v>175</v>
      </c>
      <c r="D1005" s="5" t="s">
        <v>1954</v>
      </c>
      <c r="E1005" s="5" t="s">
        <v>1955</v>
      </c>
      <c r="F1005" s="5"/>
      <c r="G1005" s="5" t="str">
        <f aca="false">IF(EXACT(D1005,E1005),"Tetap","Diubah")</f>
        <v>Diubah</v>
      </c>
      <c r="H1005" s="5" t="s">
        <v>167</v>
      </c>
    </row>
    <row r="1006" customFormat="false" ht="23.85" hidden="false" customHeight="false" outlineLevel="0" collapsed="false">
      <c r="A1006" s="5" t="n">
        <v>1005</v>
      </c>
      <c r="B1006" s="5" t="s">
        <v>308</v>
      </c>
      <c r="C1006" s="5" t="s">
        <v>153</v>
      </c>
      <c r="D1006" s="5" t="s">
        <v>1956</v>
      </c>
      <c r="E1006" s="5" t="s">
        <v>1957</v>
      </c>
      <c r="F1006" s="5"/>
      <c r="G1006" s="5" t="str">
        <f aca="false">IF(EXACT(D1006,E1006),"Tetap","Diubah")</f>
        <v>Diubah</v>
      </c>
      <c r="H1006" s="5" t="s">
        <v>167</v>
      </c>
    </row>
    <row r="1007" customFormat="false" ht="23.85" hidden="false" customHeight="false" outlineLevel="0" collapsed="false">
      <c r="A1007" s="5" t="n">
        <v>1006</v>
      </c>
      <c r="B1007" s="5" t="s">
        <v>308</v>
      </c>
      <c r="C1007" s="5" t="s">
        <v>156</v>
      </c>
      <c r="D1007" s="5" t="s">
        <v>1958</v>
      </c>
      <c r="E1007" s="5" t="s">
        <v>1959</v>
      </c>
      <c r="F1007" s="5"/>
      <c r="G1007" s="5" t="str">
        <f aca="false">IF(EXACT(D1007,E1007),"Tetap","Diubah")</f>
        <v>Diubah</v>
      </c>
      <c r="H1007" s="5" t="s">
        <v>167</v>
      </c>
    </row>
    <row r="1008" customFormat="false" ht="23.85" hidden="false" customHeight="false" outlineLevel="0" collapsed="false">
      <c r="A1008" s="5" t="n">
        <v>1007</v>
      </c>
      <c r="B1008" s="5" t="s">
        <v>308</v>
      </c>
      <c r="C1008" s="5" t="s">
        <v>163</v>
      </c>
      <c r="D1008" s="5" t="s">
        <v>1960</v>
      </c>
      <c r="E1008" s="5" t="s">
        <v>1961</v>
      </c>
      <c r="F1008" s="5"/>
      <c r="G1008" s="5" t="str">
        <f aca="false">IF(EXACT(D1008,E1008),"Tetap","Diubah")</f>
        <v>Diubah</v>
      </c>
      <c r="H1008" s="5" t="s">
        <v>167</v>
      </c>
    </row>
    <row r="1009" customFormat="false" ht="23.85" hidden="false" customHeight="false" outlineLevel="0" collapsed="false">
      <c r="A1009" s="5" t="n">
        <v>1008</v>
      </c>
      <c r="B1009" s="5" t="s">
        <v>308</v>
      </c>
      <c r="C1009" s="5" t="s">
        <v>156</v>
      </c>
      <c r="D1009" s="5" t="s">
        <v>1962</v>
      </c>
      <c r="E1009" s="5" t="s">
        <v>1963</v>
      </c>
      <c r="F1009" s="5"/>
      <c r="G1009" s="5" t="str">
        <f aca="false">IF(EXACT(D1009,E1009),"Tetap","Diubah")</f>
        <v>Diubah</v>
      </c>
      <c r="H1009" s="5" t="s">
        <v>167</v>
      </c>
    </row>
    <row r="1010" customFormat="false" ht="23.85" hidden="false" customHeight="false" outlineLevel="0" collapsed="false">
      <c r="A1010" s="5" t="n">
        <v>1009</v>
      </c>
      <c r="B1010" s="5" t="s">
        <v>308</v>
      </c>
      <c r="C1010" s="5" t="s">
        <v>485</v>
      </c>
      <c r="D1010" s="5" t="s">
        <v>1964</v>
      </c>
      <c r="E1010" s="5" t="s">
        <v>1965</v>
      </c>
      <c r="F1010" s="5"/>
      <c r="G1010" s="5" t="str">
        <f aca="false">IF(EXACT(D1010,E1010),"Tetap","Diubah")</f>
        <v>Diubah</v>
      </c>
      <c r="H1010" s="5" t="s">
        <v>167</v>
      </c>
    </row>
    <row r="1011" customFormat="false" ht="23.85" hidden="false" customHeight="false" outlineLevel="0" collapsed="false">
      <c r="A1011" s="5" t="n">
        <v>1010</v>
      </c>
      <c r="B1011" s="5" t="s">
        <v>308</v>
      </c>
      <c r="C1011" s="5" t="s">
        <v>20</v>
      </c>
      <c r="D1011" s="5" t="s">
        <v>1966</v>
      </c>
      <c r="E1011" s="5" t="s">
        <v>1967</v>
      </c>
      <c r="F1011" s="5"/>
      <c r="G1011" s="5" t="str">
        <f aca="false">IF(EXACT(D1011,E1011),"Tetap","Diubah")</f>
        <v>Diubah</v>
      </c>
      <c r="H1011" s="5" t="s">
        <v>167</v>
      </c>
    </row>
    <row r="1012" customFormat="false" ht="23.85" hidden="false" customHeight="false" outlineLevel="0" collapsed="false">
      <c r="A1012" s="5" t="n">
        <v>1011</v>
      </c>
      <c r="B1012" s="5" t="s">
        <v>308</v>
      </c>
      <c r="C1012" s="5" t="s">
        <v>156</v>
      </c>
      <c r="D1012" s="5" t="s">
        <v>1968</v>
      </c>
      <c r="E1012" s="5" t="s">
        <v>1969</v>
      </c>
      <c r="F1012" s="5"/>
      <c r="G1012" s="5" t="str">
        <f aca="false">IF(EXACT(D1012,E1012),"Tetap","Diubah")</f>
        <v>Diubah</v>
      </c>
      <c r="H1012" s="5" t="s">
        <v>167</v>
      </c>
    </row>
    <row r="1013" customFormat="false" ht="23.85" hidden="false" customHeight="false" outlineLevel="0" collapsed="false">
      <c r="A1013" s="5" t="n">
        <v>1012</v>
      </c>
      <c r="B1013" s="5" t="s">
        <v>308</v>
      </c>
      <c r="C1013" s="5" t="s">
        <v>175</v>
      </c>
      <c r="D1013" s="5" t="s">
        <v>1970</v>
      </c>
      <c r="E1013" s="5" t="s">
        <v>1971</v>
      </c>
      <c r="F1013" s="5"/>
      <c r="G1013" s="5" t="str">
        <f aca="false">IF(EXACT(D1013,E1013),"Tetap","Diubah")</f>
        <v>Diubah</v>
      </c>
      <c r="H1013" s="5" t="s">
        <v>167</v>
      </c>
    </row>
    <row r="1014" customFormat="false" ht="23.85" hidden="false" customHeight="false" outlineLevel="0" collapsed="false">
      <c r="A1014" s="5" t="n">
        <v>1013</v>
      </c>
      <c r="B1014" s="5" t="s">
        <v>308</v>
      </c>
      <c r="C1014" s="5" t="s">
        <v>175</v>
      </c>
      <c r="D1014" s="5" t="s">
        <v>1972</v>
      </c>
      <c r="E1014" s="5" t="s">
        <v>1972</v>
      </c>
      <c r="F1014" s="5" t="s">
        <v>28</v>
      </c>
      <c r="G1014" s="5" t="str">
        <f aca="false">IF(EXACT(D1014,E1014),"Tetap","Diubah")</f>
        <v>Tetap</v>
      </c>
      <c r="H1014" s="5" t="s">
        <v>167</v>
      </c>
    </row>
    <row r="1015" customFormat="false" ht="23.85" hidden="false" customHeight="false" outlineLevel="0" collapsed="false">
      <c r="A1015" s="5" t="n">
        <v>1014</v>
      </c>
      <c r="B1015" s="5" t="s">
        <v>308</v>
      </c>
      <c r="C1015" s="5" t="s">
        <v>153</v>
      </c>
      <c r="D1015" s="5" t="s">
        <v>1973</v>
      </c>
      <c r="E1015" s="5" t="s">
        <v>1974</v>
      </c>
      <c r="F1015" s="5"/>
      <c r="G1015" s="5" t="str">
        <f aca="false">IF(EXACT(D1015,E1015),"Tetap","Diubah")</f>
        <v>Diubah</v>
      </c>
      <c r="H1015" s="5" t="s">
        <v>167</v>
      </c>
    </row>
    <row r="1016" customFormat="false" ht="23.85" hidden="false" customHeight="false" outlineLevel="0" collapsed="false">
      <c r="A1016" s="5" t="n">
        <v>1015</v>
      </c>
      <c r="B1016" s="5" t="s">
        <v>308</v>
      </c>
      <c r="C1016" s="5" t="s">
        <v>156</v>
      </c>
      <c r="D1016" s="5" t="s">
        <v>1975</v>
      </c>
      <c r="E1016" s="5" t="s">
        <v>1976</v>
      </c>
      <c r="F1016" s="5"/>
      <c r="G1016" s="5" t="str">
        <f aca="false">IF(EXACT(D1016,E1016),"Tetap","Diubah")</f>
        <v>Diubah</v>
      </c>
      <c r="H1016" s="5" t="s">
        <v>167</v>
      </c>
    </row>
    <row r="1017" customFormat="false" ht="23.85" hidden="false" customHeight="false" outlineLevel="0" collapsed="false">
      <c r="A1017" s="5" t="n">
        <v>1016</v>
      </c>
      <c r="B1017" s="5" t="s">
        <v>308</v>
      </c>
      <c r="C1017" s="5" t="s">
        <v>153</v>
      </c>
      <c r="D1017" s="5" t="s">
        <v>1244</v>
      </c>
      <c r="E1017" s="5" t="s">
        <v>994</v>
      </c>
      <c r="F1017" s="5"/>
      <c r="G1017" s="5" t="str">
        <f aca="false">IF(EXACT(D1017,E1017),"Tetap","Diubah")</f>
        <v>Diubah</v>
      </c>
      <c r="H1017" s="5" t="s">
        <v>167</v>
      </c>
    </row>
    <row r="1018" customFormat="false" ht="23.85" hidden="false" customHeight="false" outlineLevel="0" collapsed="false">
      <c r="A1018" s="5" t="n">
        <v>1017</v>
      </c>
      <c r="B1018" s="5" t="s">
        <v>308</v>
      </c>
      <c r="C1018" s="5" t="s">
        <v>156</v>
      </c>
      <c r="D1018" s="5" t="s">
        <v>1977</v>
      </c>
      <c r="E1018" s="5" t="s">
        <v>1978</v>
      </c>
      <c r="F1018" s="5"/>
      <c r="G1018" s="5" t="str">
        <f aca="false">IF(EXACT(D1018,E1018),"Tetap","Diubah")</f>
        <v>Diubah</v>
      </c>
      <c r="H1018" s="5" t="s">
        <v>167</v>
      </c>
    </row>
    <row r="1019" customFormat="false" ht="23.85" hidden="false" customHeight="false" outlineLevel="0" collapsed="false">
      <c r="A1019" s="5" t="n">
        <v>1018</v>
      </c>
      <c r="B1019" s="5" t="s">
        <v>308</v>
      </c>
      <c r="C1019" s="5" t="s">
        <v>163</v>
      </c>
      <c r="D1019" s="5" t="s">
        <v>1979</v>
      </c>
      <c r="E1019" s="5" t="s">
        <v>1980</v>
      </c>
      <c r="F1019" s="5"/>
      <c r="G1019" s="5" t="str">
        <f aca="false">IF(EXACT(D1019,E1019),"Tetap","Diubah")</f>
        <v>Diubah</v>
      </c>
      <c r="H1019" s="5" t="s">
        <v>167</v>
      </c>
    </row>
    <row r="1020" customFormat="false" ht="23.85" hidden="false" customHeight="false" outlineLevel="0" collapsed="false">
      <c r="A1020" s="5" t="n">
        <v>1019</v>
      </c>
      <c r="B1020" s="5" t="s">
        <v>308</v>
      </c>
      <c r="C1020" s="5" t="s">
        <v>20</v>
      </c>
      <c r="D1020" s="5" t="s">
        <v>1981</v>
      </c>
      <c r="E1020" s="5" t="s">
        <v>1982</v>
      </c>
      <c r="F1020" s="5"/>
      <c r="G1020" s="5" t="str">
        <f aca="false">IF(EXACT(D1020,E1020),"Tetap","Diubah")</f>
        <v>Diubah</v>
      </c>
      <c r="H1020" s="5" t="s">
        <v>167</v>
      </c>
    </row>
    <row r="1021" customFormat="false" ht="23.85" hidden="false" customHeight="false" outlineLevel="0" collapsed="false">
      <c r="A1021" s="5" t="n">
        <v>1020</v>
      </c>
      <c r="B1021" s="5" t="s">
        <v>308</v>
      </c>
      <c r="C1021" s="5" t="s">
        <v>156</v>
      </c>
      <c r="D1021" s="5" t="s">
        <v>1983</v>
      </c>
      <c r="E1021" s="5" t="s">
        <v>1984</v>
      </c>
      <c r="F1021" s="5"/>
      <c r="G1021" s="5" t="str">
        <f aca="false">IF(EXACT(D1021,E1021),"Tetap","Diubah")</f>
        <v>Diubah</v>
      </c>
      <c r="H1021" s="5" t="s">
        <v>167</v>
      </c>
    </row>
    <row r="1022" customFormat="false" ht="23.85" hidden="false" customHeight="false" outlineLevel="0" collapsed="false">
      <c r="A1022" s="5" t="n">
        <v>1021</v>
      </c>
      <c r="B1022" s="5" t="s">
        <v>308</v>
      </c>
      <c r="C1022" s="5" t="s">
        <v>163</v>
      </c>
      <c r="D1022" s="5" t="s">
        <v>1985</v>
      </c>
      <c r="E1022" s="5" t="s">
        <v>1986</v>
      </c>
      <c r="F1022" s="5"/>
      <c r="G1022" s="5" t="str">
        <f aca="false">IF(EXACT(D1022,E1022),"Tetap","Diubah")</f>
        <v>Diubah</v>
      </c>
      <c r="H1022" s="5" t="s">
        <v>167</v>
      </c>
    </row>
    <row r="1023" customFormat="false" ht="23.85" hidden="false" customHeight="false" outlineLevel="0" collapsed="false">
      <c r="A1023" s="5" t="n">
        <v>1022</v>
      </c>
      <c r="B1023" s="5" t="s">
        <v>308</v>
      </c>
      <c r="C1023" s="5" t="s">
        <v>485</v>
      </c>
      <c r="D1023" s="5" t="s">
        <v>1987</v>
      </c>
      <c r="E1023" s="5" t="s">
        <v>1988</v>
      </c>
      <c r="F1023" s="5"/>
      <c r="G1023" s="5" t="str">
        <f aca="false">IF(EXACT(D1023,E1023),"Tetap","Diubah")</f>
        <v>Diubah</v>
      </c>
      <c r="H1023" s="5" t="s">
        <v>167</v>
      </c>
    </row>
    <row r="1024" customFormat="false" ht="23.85" hidden="false" customHeight="false" outlineLevel="0" collapsed="false">
      <c r="A1024" s="5" t="n">
        <v>1023</v>
      </c>
      <c r="B1024" s="5" t="s">
        <v>308</v>
      </c>
      <c r="C1024" s="5" t="s">
        <v>153</v>
      </c>
      <c r="D1024" s="5" t="s">
        <v>1989</v>
      </c>
      <c r="E1024" s="5" t="s">
        <v>1990</v>
      </c>
      <c r="F1024" s="5"/>
      <c r="G1024" s="5" t="str">
        <f aca="false">IF(EXACT(D1024,E1024),"Tetap","Diubah")</f>
        <v>Diubah</v>
      </c>
      <c r="H1024" s="5" t="s">
        <v>167</v>
      </c>
    </row>
    <row r="1025" customFormat="false" ht="23.85" hidden="false" customHeight="false" outlineLevel="0" collapsed="false">
      <c r="A1025" s="5" t="n">
        <v>1024</v>
      </c>
      <c r="B1025" s="5" t="s">
        <v>308</v>
      </c>
      <c r="C1025" s="5" t="s">
        <v>156</v>
      </c>
      <c r="D1025" s="5" t="s">
        <v>1991</v>
      </c>
      <c r="E1025" s="5" t="s">
        <v>1992</v>
      </c>
      <c r="F1025" s="5"/>
      <c r="G1025" s="5" t="str">
        <f aca="false">IF(EXACT(D1025,E1025),"Tetap","Diubah")</f>
        <v>Diubah</v>
      </c>
      <c r="H1025" s="5" t="s">
        <v>167</v>
      </c>
    </row>
    <row r="1026" customFormat="false" ht="23.85" hidden="false" customHeight="false" outlineLevel="0" collapsed="false">
      <c r="A1026" s="5" t="n">
        <v>1025</v>
      </c>
      <c r="B1026" s="5" t="s">
        <v>308</v>
      </c>
      <c r="C1026" s="5" t="s">
        <v>153</v>
      </c>
      <c r="D1026" s="5" t="s">
        <v>1430</v>
      </c>
      <c r="E1026" s="5" t="s">
        <v>1431</v>
      </c>
      <c r="F1026" s="5"/>
      <c r="G1026" s="5" t="str">
        <f aca="false">IF(EXACT(D1026,E1026),"Tetap","Diubah")</f>
        <v>Diubah</v>
      </c>
      <c r="H1026" s="5" t="s">
        <v>167</v>
      </c>
    </row>
    <row r="1027" customFormat="false" ht="23.85" hidden="false" customHeight="false" outlineLevel="0" collapsed="false">
      <c r="A1027" s="5" t="n">
        <v>1026</v>
      </c>
      <c r="B1027" s="5" t="s">
        <v>308</v>
      </c>
      <c r="C1027" s="5" t="s">
        <v>156</v>
      </c>
      <c r="D1027" s="5" t="s">
        <v>1993</v>
      </c>
      <c r="E1027" s="5" t="s">
        <v>1994</v>
      </c>
      <c r="F1027" s="5"/>
      <c r="G1027" s="5" t="str">
        <f aca="false">IF(EXACT(D1027,E1027),"Tetap","Diubah")</f>
        <v>Diubah</v>
      </c>
      <c r="H1027" s="5" t="s">
        <v>167</v>
      </c>
    </row>
    <row r="1028" customFormat="false" ht="23.85" hidden="false" customHeight="false" outlineLevel="0" collapsed="false">
      <c r="A1028" s="5" t="n">
        <v>1027</v>
      </c>
      <c r="B1028" s="5" t="s">
        <v>308</v>
      </c>
      <c r="C1028" s="5" t="s">
        <v>485</v>
      </c>
      <c r="D1028" s="5" t="s">
        <v>1995</v>
      </c>
      <c r="E1028" s="5" t="s">
        <v>1996</v>
      </c>
      <c r="F1028" s="5"/>
      <c r="G1028" s="5" t="str">
        <f aca="false">IF(EXACT(D1028,E1028),"Tetap","Diubah")</f>
        <v>Diubah</v>
      </c>
      <c r="H1028" s="5" t="s">
        <v>167</v>
      </c>
    </row>
    <row r="1029" customFormat="false" ht="23.85" hidden="false" customHeight="false" outlineLevel="0" collapsed="false">
      <c r="A1029" s="5" t="n">
        <v>1028</v>
      </c>
      <c r="B1029" s="5" t="s">
        <v>308</v>
      </c>
      <c r="C1029" s="5" t="s">
        <v>175</v>
      </c>
      <c r="D1029" s="5" t="s">
        <v>1997</v>
      </c>
      <c r="E1029" s="5" t="s">
        <v>1998</v>
      </c>
      <c r="F1029" s="5"/>
      <c r="G1029" s="5" t="str">
        <f aca="false">IF(EXACT(D1029,E1029),"Tetap","Diubah")</f>
        <v>Diubah</v>
      </c>
      <c r="H1029" s="5" t="s">
        <v>167</v>
      </c>
    </row>
    <row r="1030" customFormat="false" ht="23.85" hidden="false" customHeight="false" outlineLevel="0" collapsed="false">
      <c r="A1030" s="5" t="n">
        <v>1029</v>
      </c>
      <c r="B1030" s="5" t="s">
        <v>308</v>
      </c>
      <c r="C1030" s="5" t="s">
        <v>163</v>
      </c>
      <c r="D1030" s="5" t="s">
        <v>1999</v>
      </c>
      <c r="E1030" s="5" t="s">
        <v>1739</v>
      </c>
      <c r="F1030" s="5"/>
      <c r="G1030" s="5" t="str">
        <f aca="false">IF(EXACT(D1030,E1030),"Tetap","Diubah")</f>
        <v>Diubah</v>
      </c>
      <c r="H1030" s="5" t="s">
        <v>167</v>
      </c>
    </row>
    <row r="1031" customFormat="false" ht="23.85" hidden="false" customHeight="false" outlineLevel="0" collapsed="false">
      <c r="A1031" s="5" t="n">
        <v>1030</v>
      </c>
      <c r="B1031" s="5" t="s">
        <v>308</v>
      </c>
      <c r="C1031" s="5" t="s">
        <v>156</v>
      </c>
      <c r="D1031" s="5" t="s">
        <v>2000</v>
      </c>
      <c r="E1031" s="5" t="s">
        <v>2001</v>
      </c>
      <c r="F1031" s="5"/>
      <c r="G1031" s="5" t="str">
        <f aca="false">IF(EXACT(D1031,E1031),"Tetap","Diubah")</f>
        <v>Diubah</v>
      </c>
      <c r="H1031" s="5" t="s">
        <v>167</v>
      </c>
    </row>
    <row r="1032" customFormat="false" ht="23.85" hidden="false" customHeight="false" outlineLevel="0" collapsed="false">
      <c r="A1032" s="5" t="n">
        <v>1031</v>
      </c>
      <c r="B1032" s="5" t="s">
        <v>308</v>
      </c>
      <c r="C1032" s="5" t="s">
        <v>153</v>
      </c>
      <c r="D1032" s="5" t="s">
        <v>2002</v>
      </c>
      <c r="E1032" s="5" t="s">
        <v>2003</v>
      </c>
      <c r="F1032" s="5"/>
      <c r="G1032" s="5" t="str">
        <f aca="false">IF(EXACT(D1032,E1032),"Tetap","Diubah")</f>
        <v>Diubah</v>
      </c>
      <c r="H1032" s="5" t="s">
        <v>167</v>
      </c>
    </row>
    <row r="1033" customFormat="false" ht="23.85" hidden="false" customHeight="false" outlineLevel="0" collapsed="false">
      <c r="A1033" s="5" t="n">
        <v>1032</v>
      </c>
      <c r="B1033" s="5" t="s">
        <v>308</v>
      </c>
      <c r="C1033" s="5" t="s">
        <v>163</v>
      </c>
      <c r="D1033" s="5" t="s">
        <v>2004</v>
      </c>
      <c r="E1033" s="5" t="s">
        <v>2005</v>
      </c>
      <c r="F1033" s="5"/>
      <c r="G1033" s="5" t="str">
        <f aca="false">IF(EXACT(D1033,E1033),"Tetap","Diubah")</f>
        <v>Diubah</v>
      </c>
      <c r="H1033" s="5" t="s">
        <v>167</v>
      </c>
    </row>
    <row r="1034" customFormat="false" ht="23.85" hidden="false" customHeight="false" outlineLevel="0" collapsed="false">
      <c r="A1034" s="5" t="n">
        <v>1033</v>
      </c>
      <c r="B1034" s="5" t="s">
        <v>308</v>
      </c>
      <c r="C1034" s="5" t="s">
        <v>153</v>
      </c>
      <c r="D1034" s="5" t="s">
        <v>2006</v>
      </c>
      <c r="E1034" s="5" t="s">
        <v>2007</v>
      </c>
      <c r="F1034" s="5"/>
      <c r="G1034" s="5" t="str">
        <f aca="false">IF(EXACT(D1034,E1034),"Tetap","Diubah")</f>
        <v>Diubah</v>
      </c>
      <c r="H1034" s="5" t="s">
        <v>167</v>
      </c>
    </row>
    <row r="1035" customFormat="false" ht="23.85" hidden="false" customHeight="false" outlineLevel="0" collapsed="false">
      <c r="A1035" s="5" t="n">
        <v>1034</v>
      </c>
      <c r="B1035" s="5" t="s">
        <v>308</v>
      </c>
      <c r="C1035" s="5" t="s">
        <v>175</v>
      </c>
      <c r="D1035" s="5" t="s">
        <v>2008</v>
      </c>
      <c r="E1035" s="5" t="s">
        <v>2009</v>
      </c>
      <c r="F1035" s="5"/>
      <c r="G1035" s="5" t="str">
        <f aca="false">IF(EXACT(D1035,E1035),"Tetap","Diubah")</f>
        <v>Diubah</v>
      </c>
      <c r="H1035" s="5" t="s">
        <v>167</v>
      </c>
    </row>
    <row r="1036" customFormat="false" ht="23.85" hidden="false" customHeight="false" outlineLevel="0" collapsed="false">
      <c r="A1036" s="5" t="n">
        <v>1035</v>
      </c>
      <c r="B1036" s="5" t="s">
        <v>308</v>
      </c>
      <c r="C1036" s="5" t="s">
        <v>485</v>
      </c>
      <c r="D1036" s="5" t="s">
        <v>2010</v>
      </c>
      <c r="E1036" s="5" t="s">
        <v>2011</v>
      </c>
      <c r="F1036" s="5"/>
      <c r="G1036" s="5" t="str">
        <f aca="false">IF(EXACT(D1036,E1036),"Tetap","Diubah")</f>
        <v>Diubah</v>
      </c>
      <c r="H1036" s="5" t="s">
        <v>167</v>
      </c>
    </row>
    <row r="1037" customFormat="false" ht="23.85" hidden="false" customHeight="false" outlineLevel="0" collapsed="false">
      <c r="A1037" s="5" t="n">
        <v>1036</v>
      </c>
      <c r="B1037" s="5" t="s">
        <v>308</v>
      </c>
      <c r="C1037" s="5" t="s">
        <v>175</v>
      </c>
      <c r="D1037" s="5" t="s">
        <v>2012</v>
      </c>
      <c r="E1037" s="5" t="s">
        <v>2013</v>
      </c>
      <c r="F1037" s="5"/>
      <c r="G1037" s="5" t="str">
        <f aca="false">IF(EXACT(D1037,E1037),"Tetap","Diubah")</f>
        <v>Diubah</v>
      </c>
      <c r="H1037" s="5" t="s">
        <v>167</v>
      </c>
    </row>
    <row r="1038" customFormat="false" ht="23.85" hidden="false" customHeight="false" outlineLevel="0" collapsed="false">
      <c r="A1038" s="5" t="n">
        <v>1037</v>
      </c>
      <c r="B1038" s="5" t="s">
        <v>308</v>
      </c>
      <c r="C1038" s="5" t="s">
        <v>153</v>
      </c>
      <c r="D1038" s="5" t="s">
        <v>2014</v>
      </c>
      <c r="E1038" s="5" t="s">
        <v>2015</v>
      </c>
      <c r="F1038" s="5"/>
      <c r="G1038" s="5" t="str">
        <f aca="false">IF(EXACT(D1038,E1038),"Tetap","Diubah")</f>
        <v>Diubah</v>
      </c>
      <c r="H1038" s="5" t="s">
        <v>167</v>
      </c>
    </row>
    <row r="1039" customFormat="false" ht="23.85" hidden="false" customHeight="false" outlineLevel="0" collapsed="false">
      <c r="A1039" s="5" t="n">
        <v>1038</v>
      </c>
      <c r="B1039" s="5" t="s">
        <v>308</v>
      </c>
      <c r="C1039" s="5" t="s">
        <v>163</v>
      </c>
      <c r="D1039" s="5" t="s">
        <v>2016</v>
      </c>
      <c r="E1039" s="5" t="s">
        <v>2017</v>
      </c>
      <c r="F1039" s="5"/>
      <c r="G1039" s="5" t="str">
        <f aca="false">IF(EXACT(D1039,E1039),"Tetap","Diubah")</f>
        <v>Diubah</v>
      </c>
      <c r="H1039" s="5" t="s">
        <v>167</v>
      </c>
    </row>
    <row r="1040" customFormat="false" ht="23.85" hidden="false" customHeight="false" outlineLevel="0" collapsed="false">
      <c r="A1040" s="5" t="n">
        <v>1039</v>
      </c>
      <c r="B1040" s="5" t="s">
        <v>308</v>
      </c>
      <c r="C1040" s="5" t="s">
        <v>175</v>
      </c>
      <c r="D1040" s="5" t="s">
        <v>2018</v>
      </c>
      <c r="E1040" s="5" t="s">
        <v>1972</v>
      </c>
      <c r="F1040" s="5" t="s">
        <v>2019</v>
      </c>
      <c r="G1040" s="5" t="str">
        <f aca="false">IF(EXACT(D1040,E1040),"Tetap","Diubah")</f>
        <v>Diubah</v>
      </c>
      <c r="H1040" s="5" t="s">
        <v>167</v>
      </c>
    </row>
    <row r="1041" customFormat="false" ht="23.85" hidden="false" customHeight="false" outlineLevel="0" collapsed="false">
      <c r="A1041" s="5" t="n">
        <v>1040</v>
      </c>
      <c r="B1041" s="5" t="s">
        <v>308</v>
      </c>
      <c r="C1041" s="5" t="s">
        <v>485</v>
      </c>
      <c r="D1041" s="5" t="s">
        <v>2020</v>
      </c>
      <c r="E1041" s="5" t="s">
        <v>2021</v>
      </c>
      <c r="F1041" s="5"/>
      <c r="G1041" s="5" t="str">
        <f aca="false">IF(EXACT(D1041,E1041),"Tetap","Diubah")</f>
        <v>Diubah</v>
      </c>
      <c r="H1041" s="5" t="s">
        <v>167</v>
      </c>
    </row>
    <row r="1042" customFormat="false" ht="23.85" hidden="false" customHeight="false" outlineLevel="0" collapsed="false">
      <c r="A1042" s="5" t="n">
        <v>1041</v>
      </c>
      <c r="B1042" s="5" t="s">
        <v>308</v>
      </c>
      <c r="C1042" s="5" t="s">
        <v>156</v>
      </c>
      <c r="D1042" s="5" t="s">
        <v>2022</v>
      </c>
      <c r="E1042" s="5" t="s">
        <v>2023</v>
      </c>
      <c r="F1042" s="5"/>
      <c r="G1042" s="5" t="str">
        <f aca="false">IF(EXACT(D1042,E1042),"Tetap","Diubah")</f>
        <v>Diubah</v>
      </c>
      <c r="H1042" s="5" t="s">
        <v>167</v>
      </c>
    </row>
    <row r="1043" customFormat="false" ht="23.85" hidden="false" customHeight="false" outlineLevel="0" collapsed="false">
      <c r="A1043" s="5" t="n">
        <v>1042</v>
      </c>
      <c r="B1043" s="5" t="s">
        <v>308</v>
      </c>
      <c r="C1043" s="5" t="s">
        <v>175</v>
      </c>
      <c r="D1043" s="5" t="s">
        <v>2024</v>
      </c>
      <c r="E1043" s="5" t="s">
        <v>2025</v>
      </c>
      <c r="F1043" s="5"/>
      <c r="G1043" s="5" t="str">
        <f aca="false">IF(EXACT(D1043,E1043),"Tetap","Diubah")</f>
        <v>Diubah</v>
      </c>
      <c r="H1043" s="5" t="s">
        <v>167</v>
      </c>
    </row>
    <row r="1044" customFormat="false" ht="23.85" hidden="false" customHeight="false" outlineLevel="0" collapsed="false">
      <c r="A1044" s="5" t="n">
        <v>1043</v>
      </c>
      <c r="B1044" s="5" t="s">
        <v>308</v>
      </c>
      <c r="C1044" s="5" t="s">
        <v>153</v>
      </c>
      <c r="D1044" s="5" t="s">
        <v>2026</v>
      </c>
      <c r="E1044" s="5" t="s">
        <v>2027</v>
      </c>
      <c r="F1044" s="5"/>
      <c r="G1044" s="5" t="str">
        <f aca="false">IF(EXACT(D1044,E1044),"Tetap","Diubah")</f>
        <v>Diubah</v>
      </c>
      <c r="H1044" s="5" t="s">
        <v>167</v>
      </c>
    </row>
    <row r="1045" customFormat="false" ht="23.85" hidden="false" customHeight="false" outlineLevel="0" collapsed="false">
      <c r="A1045" s="5" t="n">
        <v>1044</v>
      </c>
      <c r="B1045" s="5" t="s">
        <v>308</v>
      </c>
      <c r="C1045" s="5" t="s">
        <v>163</v>
      </c>
      <c r="D1045" s="5" t="s">
        <v>2028</v>
      </c>
      <c r="E1045" s="5" t="s">
        <v>2029</v>
      </c>
      <c r="F1045" s="5"/>
      <c r="G1045" s="5" t="str">
        <f aca="false">IF(EXACT(D1045,E1045),"Tetap","Diubah")</f>
        <v>Diubah</v>
      </c>
      <c r="H1045" s="5" t="s">
        <v>167</v>
      </c>
    </row>
    <row r="1046" customFormat="false" ht="23.85" hidden="false" customHeight="false" outlineLevel="0" collapsed="false">
      <c r="A1046" s="5" t="n">
        <v>1045</v>
      </c>
      <c r="B1046" s="5" t="s">
        <v>308</v>
      </c>
      <c r="C1046" s="5" t="s">
        <v>485</v>
      </c>
      <c r="D1046" s="5" t="s">
        <v>2030</v>
      </c>
      <c r="E1046" s="5" t="s">
        <v>2030</v>
      </c>
      <c r="F1046" s="5"/>
      <c r="G1046" s="5" t="str">
        <f aca="false">IF(EXACT(D1046,E1046),"Tetap","Diubah")</f>
        <v>Tetap</v>
      </c>
      <c r="H1046" s="5" t="s">
        <v>167</v>
      </c>
    </row>
    <row r="1047" customFormat="false" ht="23.85" hidden="false" customHeight="false" outlineLevel="0" collapsed="false">
      <c r="A1047" s="5" t="n">
        <v>1046</v>
      </c>
      <c r="B1047" s="5" t="s">
        <v>308</v>
      </c>
      <c r="C1047" s="5" t="s">
        <v>20</v>
      </c>
      <c r="D1047" s="5" t="s">
        <v>2031</v>
      </c>
      <c r="E1047" s="5" t="s">
        <v>1501</v>
      </c>
      <c r="F1047" s="5"/>
      <c r="G1047" s="5" t="str">
        <f aca="false">IF(EXACT(D1047,E1047),"Tetap","Diubah")</f>
        <v>Diubah</v>
      </c>
      <c r="H1047" s="5" t="s">
        <v>167</v>
      </c>
    </row>
    <row r="1048" customFormat="false" ht="23.85" hidden="false" customHeight="false" outlineLevel="0" collapsed="false">
      <c r="A1048" s="5" t="n">
        <v>1047</v>
      </c>
      <c r="B1048" s="5" t="s">
        <v>308</v>
      </c>
      <c r="C1048" s="5" t="s">
        <v>153</v>
      </c>
      <c r="D1048" s="5" t="s">
        <v>2032</v>
      </c>
      <c r="E1048" s="5" t="s">
        <v>2033</v>
      </c>
      <c r="F1048" s="5"/>
      <c r="G1048" s="5" t="str">
        <f aca="false">IF(EXACT(D1048,E1048),"Tetap","Diubah")</f>
        <v>Diubah</v>
      </c>
      <c r="H1048" s="5" t="s">
        <v>167</v>
      </c>
    </row>
    <row r="1049" customFormat="false" ht="23.85" hidden="false" customHeight="false" outlineLevel="0" collapsed="false">
      <c r="A1049" s="5" t="n">
        <v>1048</v>
      </c>
      <c r="B1049" s="5" t="s">
        <v>308</v>
      </c>
      <c r="C1049" s="5" t="s">
        <v>175</v>
      </c>
      <c r="D1049" s="5" t="s">
        <v>2034</v>
      </c>
      <c r="E1049" s="5" t="s">
        <v>2034</v>
      </c>
      <c r="F1049" s="5" t="s">
        <v>28</v>
      </c>
      <c r="G1049" s="5" t="str">
        <f aca="false">IF(EXACT(D1049,E1049),"Tetap","Diubah")</f>
        <v>Tetap</v>
      </c>
      <c r="H1049" s="5" t="s">
        <v>167</v>
      </c>
    </row>
    <row r="1050" customFormat="false" ht="23.85" hidden="false" customHeight="false" outlineLevel="0" collapsed="false">
      <c r="A1050" s="5" t="n">
        <v>1049</v>
      </c>
      <c r="B1050" s="5" t="s">
        <v>308</v>
      </c>
      <c r="C1050" s="5" t="s">
        <v>20</v>
      </c>
      <c r="D1050" s="5" t="s">
        <v>2035</v>
      </c>
      <c r="E1050" s="5" t="s">
        <v>2036</v>
      </c>
      <c r="F1050" s="5"/>
      <c r="G1050" s="5" t="str">
        <f aca="false">IF(EXACT(D1050,E1050),"Tetap","Diubah")</f>
        <v>Diubah</v>
      </c>
      <c r="H1050" s="5" t="s">
        <v>167</v>
      </c>
    </row>
    <row r="1051" customFormat="false" ht="23.85" hidden="false" customHeight="false" outlineLevel="0" collapsed="false">
      <c r="A1051" s="5" t="n">
        <v>1050</v>
      </c>
      <c r="B1051" s="5" t="s">
        <v>308</v>
      </c>
      <c r="C1051" s="5" t="s">
        <v>20</v>
      </c>
      <c r="D1051" s="5" t="s">
        <v>2037</v>
      </c>
      <c r="E1051" s="5" t="s">
        <v>2037</v>
      </c>
      <c r="F1051" s="5" t="s">
        <v>28</v>
      </c>
      <c r="G1051" s="5" t="str">
        <f aca="false">IF(EXACT(D1051,E1051),"Tetap","Diubah")</f>
        <v>Tetap</v>
      </c>
      <c r="H1051" s="5" t="s">
        <v>167</v>
      </c>
    </row>
    <row r="1052" customFormat="false" ht="23.85" hidden="false" customHeight="false" outlineLevel="0" collapsed="false">
      <c r="A1052" s="5" t="n">
        <v>1051</v>
      </c>
      <c r="B1052" s="5" t="s">
        <v>308</v>
      </c>
      <c r="C1052" s="5" t="s">
        <v>153</v>
      </c>
      <c r="D1052" s="5" t="s">
        <v>2038</v>
      </c>
      <c r="E1052" s="5" t="s">
        <v>2039</v>
      </c>
      <c r="F1052" s="5"/>
      <c r="G1052" s="5" t="str">
        <f aca="false">IF(EXACT(D1052,E1052),"Tetap","Diubah")</f>
        <v>Diubah</v>
      </c>
      <c r="H1052" s="5" t="s">
        <v>167</v>
      </c>
    </row>
    <row r="1053" customFormat="false" ht="23.85" hidden="false" customHeight="false" outlineLevel="0" collapsed="false">
      <c r="A1053" s="5" t="n">
        <v>1052</v>
      </c>
      <c r="B1053" s="5" t="s">
        <v>308</v>
      </c>
      <c r="C1053" s="5" t="s">
        <v>156</v>
      </c>
      <c r="D1053" s="5" t="s">
        <v>2040</v>
      </c>
      <c r="E1053" s="5" t="s">
        <v>2041</v>
      </c>
      <c r="F1053" s="5"/>
      <c r="G1053" s="5" t="str">
        <f aca="false">IF(EXACT(D1053,E1053),"Tetap","Diubah")</f>
        <v>Diubah</v>
      </c>
      <c r="H1053" s="5" t="s">
        <v>167</v>
      </c>
    </row>
    <row r="1054" customFormat="false" ht="23.85" hidden="false" customHeight="false" outlineLevel="0" collapsed="false">
      <c r="A1054" s="5" t="n">
        <v>1053</v>
      </c>
      <c r="B1054" s="5" t="s">
        <v>308</v>
      </c>
      <c r="C1054" s="5" t="s">
        <v>485</v>
      </c>
      <c r="D1054" s="5" t="s">
        <v>2042</v>
      </c>
      <c r="E1054" s="5" t="s">
        <v>2042</v>
      </c>
      <c r="F1054" s="5"/>
      <c r="G1054" s="5" t="str">
        <f aca="false">IF(EXACT(D1054,E1054),"Tetap","Diubah")</f>
        <v>Tetap</v>
      </c>
      <c r="H1054" s="5" t="s">
        <v>167</v>
      </c>
    </row>
    <row r="1055" customFormat="false" ht="23.85" hidden="false" customHeight="false" outlineLevel="0" collapsed="false">
      <c r="A1055" s="5" t="n">
        <v>1054</v>
      </c>
      <c r="B1055" s="5" t="s">
        <v>308</v>
      </c>
      <c r="C1055" s="5" t="s">
        <v>156</v>
      </c>
      <c r="D1055" s="5" t="s">
        <v>2043</v>
      </c>
      <c r="E1055" s="5" t="s">
        <v>2044</v>
      </c>
      <c r="F1055" s="5"/>
      <c r="G1055" s="5" t="str">
        <f aca="false">IF(EXACT(D1055,E1055),"Tetap","Diubah")</f>
        <v>Diubah</v>
      </c>
      <c r="H1055" s="5" t="s">
        <v>167</v>
      </c>
    </row>
    <row r="1056" customFormat="false" ht="23.85" hidden="false" customHeight="false" outlineLevel="0" collapsed="false">
      <c r="A1056" s="5" t="n">
        <v>1055</v>
      </c>
      <c r="B1056" s="5" t="s">
        <v>308</v>
      </c>
      <c r="C1056" s="5" t="s">
        <v>20</v>
      </c>
      <c r="D1056" s="5" t="s">
        <v>2045</v>
      </c>
      <c r="E1056" s="5" t="s">
        <v>485</v>
      </c>
      <c r="F1056" s="5"/>
      <c r="G1056" s="5" t="str">
        <f aca="false">IF(EXACT(D1056,E1056),"Tetap","Diubah")</f>
        <v>Diubah</v>
      </c>
      <c r="H1056" s="5" t="s">
        <v>167</v>
      </c>
    </row>
    <row r="1057" customFormat="false" ht="23.85" hidden="false" customHeight="false" outlineLevel="0" collapsed="false">
      <c r="A1057" s="5" t="n">
        <v>1056</v>
      </c>
      <c r="B1057" s="5" t="s">
        <v>308</v>
      </c>
      <c r="C1057" s="5" t="s">
        <v>153</v>
      </c>
      <c r="D1057" s="5" t="s">
        <v>2046</v>
      </c>
      <c r="E1057" s="5" t="s">
        <v>2047</v>
      </c>
      <c r="F1057" s="5"/>
      <c r="G1057" s="5" t="str">
        <f aca="false">IF(EXACT(D1057,E1057),"Tetap","Diubah")</f>
        <v>Diubah</v>
      </c>
      <c r="H1057" s="5" t="s">
        <v>167</v>
      </c>
    </row>
    <row r="1058" customFormat="false" ht="23.85" hidden="false" customHeight="false" outlineLevel="0" collapsed="false">
      <c r="A1058" s="5" t="n">
        <v>1057</v>
      </c>
      <c r="B1058" s="5" t="s">
        <v>308</v>
      </c>
      <c r="C1058" s="5" t="s">
        <v>20</v>
      </c>
      <c r="D1058" s="5" t="s">
        <v>2048</v>
      </c>
      <c r="E1058" s="5" t="s">
        <v>2049</v>
      </c>
      <c r="F1058" s="5" t="s">
        <v>2050</v>
      </c>
      <c r="G1058" s="5" t="str">
        <f aca="false">IF(EXACT(D1058,E1058),"Tetap","Diubah")</f>
        <v>Diubah</v>
      </c>
      <c r="H1058" s="5" t="s">
        <v>167</v>
      </c>
    </row>
    <row r="1059" customFormat="false" ht="23.85" hidden="false" customHeight="false" outlineLevel="0" collapsed="false">
      <c r="A1059" s="5" t="n">
        <v>1058</v>
      </c>
      <c r="B1059" s="5" t="s">
        <v>308</v>
      </c>
      <c r="C1059" s="5" t="s">
        <v>163</v>
      </c>
      <c r="D1059" s="5" t="s">
        <v>2051</v>
      </c>
      <c r="E1059" s="5" t="s">
        <v>2052</v>
      </c>
      <c r="F1059" s="5"/>
      <c r="G1059" s="5" t="str">
        <f aca="false">IF(EXACT(D1059,E1059),"Tetap","Diubah")</f>
        <v>Diubah</v>
      </c>
      <c r="H1059" s="5" t="s">
        <v>167</v>
      </c>
    </row>
    <row r="1060" customFormat="false" ht="23.85" hidden="false" customHeight="false" outlineLevel="0" collapsed="false">
      <c r="A1060" s="5" t="n">
        <v>1059</v>
      </c>
      <c r="B1060" s="5" t="s">
        <v>308</v>
      </c>
      <c r="C1060" s="5" t="s">
        <v>156</v>
      </c>
      <c r="D1060" s="5" t="s">
        <v>2053</v>
      </c>
      <c r="E1060" s="5" t="s">
        <v>2054</v>
      </c>
      <c r="F1060" s="5"/>
      <c r="G1060" s="5" t="str">
        <f aca="false">IF(EXACT(D1060,E1060),"Tetap","Diubah")</f>
        <v>Diubah</v>
      </c>
      <c r="H1060" s="5" t="s">
        <v>167</v>
      </c>
    </row>
    <row r="1061" customFormat="false" ht="23.85" hidden="false" customHeight="false" outlineLevel="0" collapsed="false">
      <c r="A1061" s="5" t="n">
        <v>1060</v>
      </c>
      <c r="B1061" s="5" t="s">
        <v>308</v>
      </c>
      <c r="C1061" s="5" t="s">
        <v>156</v>
      </c>
      <c r="D1061" s="5" t="s">
        <v>2055</v>
      </c>
      <c r="E1061" s="5" t="s">
        <v>2056</v>
      </c>
      <c r="F1061" s="5"/>
      <c r="G1061" s="5" t="str">
        <f aca="false">IF(EXACT(D1061,E1061),"Tetap","Diubah")</f>
        <v>Diubah</v>
      </c>
      <c r="H1061" s="5" t="s">
        <v>167</v>
      </c>
    </row>
    <row r="1062" customFormat="false" ht="23.85" hidden="false" customHeight="false" outlineLevel="0" collapsed="false">
      <c r="A1062" s="5" t="n">
        <v>1061</v>
      </c>
      <c r="B1062" s="5" t="s">
        <v>308</v>
      </c>
      <c r="C1062" s="5" t="s">
        <v>175</v>
      </c>
      <c r="D1062" s="5" t="s">
        <v>2057</v>
      </c>
      <c r="E1062" s="5" t="s">
        <v>2058</v>
      </c>
      <c r="F1062" s="5"/>
      <c r="G1062" s="5" t="str">
        <f aca="false">IF(EXACT(D1062,E1062),"Tetap","Diubah")</f>
        <v>Diubah</v>
      </c>
      <c r="H1062" s="5" t="s">
        <v>167</v>
      </c>
    </row>
    <row r="1063" customFormat="false" ht="23.85" hidden="false" customHeight="false" outlineLevel="0" collapsed="false">
      <c r="A1063" s="5" t="n">
        <v>1062</v>
      </c>
      <c r="B1063" s="5" t="s">
        <v>308</v>
      </c>
      <c r="C1063" s="5" t="s">
        <v>153</v>
      </c>
      <c r="D1063" s="5" t="s">
        <v>2059</v>
      </c>
      <c r="E1063" s="5" t="s">
        <v>2059</v>
      </c>
      <c r="F1063" s="5"/>
      <c r="G1063" s="5" t="str">
        <f aca="false">IF(EXACT(D1063,E1063),"Tetap","Diubah")</f>
        <v>Tetap</v>
      </c>
      <c r="H1063" s="5" t="s">
        <v>167</v>
      </c>
    </row>
    <row r="1064" customFormat="false" ht="23.85" hidden="false" customHeight="false" outlineLevel="0" collapsed="false">
      <c r="A1064" s="5" t="n">
        <v>1063</v>
      </c>
      <c r="B1064" s="5" t="s">
        <v>308</v>
      </c>
      <c r="C1064" s="5" t="s">
        <v>156</v>
      </c>
      <c r="D1064" s="5" t="s">
        <v>2060</v>
      </c>
      <c r="E1064" s="5" t="s">
        <v>2061</v>
      </c>
      <c r="F1064" s="5"/>
      <c r="G1064" s="5" t="str">
        <f aca="false">IF(EXACT(D1064,E1064),"Tetap","Diubah")</f>
        <v>Diubah</v>
      </c>
      <c r="H1064" s="5" t="s">
        <v>167</v>
      </c>
    </row>
    <row r="1065" customFormat="false" ht="23.85" hidden="false" customHeight="false" outlineLevel="0" collapsed="false">
      <c r="A1065" s="5" t="n">
        <v>1064</v>
      </c>
      <c r="B1065" s="5" t="s">
        <v>308</v>
      </c>
      <c r="C1065" s="5" t="s">
        <v>163</v>
      </c>
      <c r="D1065" s="5" t="s">
        <v>2062</v>
      </c>
      <c r="E1065" s="5" t="s">
        <v>2063</v>
      </c>
      <c r="F1065" s="5"/>
      <c r="G1065" s="5" t="str">
        <f aca="false">IF(EXACT(D1065,E1065),"Tetap","Diubah")</f>
        <v>Diubah</v>
      </c>
      <c r="H1065" s="5" t="s">
        <v>167</v>
      </c>
    </row>
    <row r="1066" customFormat="false" ht="23.85" hidden="false" customHeight="false" outlineLevel="0" collapsed="false">
      <c r="A1066" s="5" t="n">
        <v>1065</v>
      </c>
      <c r="B1066" s="5" t="s">
        <v>308</v>
      </c>
      <c r="C1066" s="5" t="s">
        <v>156</v>
      </c>
      <c r="D1066" s="5" t="s">
        <v>2064</v>
      </c>
      <c r="E1066" s="5" t="s">
        <v>2065</v>
      </c>
      <c r="F1066" s="5"/>
      <c r="G1066" s="5" t="str">
        <f aca="false">IF(EXACT(D1066,E1066),"Tetap","Diubah")</f>
        <v>Diubah</v>
      </c>
      <c r="H1066" s="5" t="s">
        <v>167</v>
      </c>
    </row>
    <row r="1067" customFormat="false" ht="23.85" hidden="false" customHeight="false" outlineLevel="0" collapsed="false">
      <c r="A1067" s="5" t="n">
        <v>1066</v>
      </c>
      <c r="B1067" s="5" t="s">
        <v>308</v>
      </c>
      <c r="C1067" s="5" t="s">
        <v>163</v>
      </c>
      <c r="D1067" s="5" t="s">
        <v>2066</v>
      </c>
      <c r="E1067" s="5" t="s">
        <v>2067</v>
      </c>
      <c r="F1067" s="5"/>
      <c r="G1067" s="5" t="str">
        <f aca="false">IF(EXACT(D1067,E1067),"Tetap","Diubah")</f>
        <v>Diubah</v>
      </c>
      <c r="H1067" s="5" t="s">
        <v>167</v>
      </c>
    </row>
    <row r="1068" customFormat="false" ht="23.85" hidden="false" customHeight="false" outlineLevel="0" collapsed="false">
      <c r="A1068" s="5" t="n">
        <v>1067</v>
      </c>
      <c r="B1068" s="5" t="s">
        <v>308</v>
      </c>
      <c r="C1068" s="5" t="s">
        <v>175</v>
      </c>
      <c r="D1068" s="5" t="s">
        <v>2068</v>
      </c>
      <c r="E1068" s="5" t="s">
        <v>2069</v>
      </c>
      <c r="F1068" s="5"/>
      <c r="G1068" s="5" t="str">
        <f aca="false">IF(EXACT(D1068,E1068),"Tetap","Diubah")</f>
        <v>Diubah</v>
      </c>
      <c r="H1068" s="5" t="s">
        <v>167</v>
      </c>
    </row>
    <row r="1069" customFormat="false" ht="23.85" hidden="false" customHeight="false" outlineLevel="0" collapsed="false">
      <c r="A1069" s="5" t="n">
        <v>1068</v>
      </c>
      <c r="B1069" s="5" t="s">
        <v>308</v>
      </c>
      <c r="C1069" s="5" t="s">
        <v>54</v>
      </c>
      <c r="D1069" s="5" t="s">
        <v>2070</v>
      </c>
      <c r="E1069" s="5" t="s">
        <v>2071</v>
      </c>
      <c r="F1069" s="5"/>
      <c r="G1069" s="5" t="str">
        <f aca="false">IF(EXACT(D1069,E1069),"Tetap","Diubah")</f>
        <v>Diubah</v>
      </c>
      <c r="H1069" s="5" t="s">
        <v>167</v>
      </c>
    </row>
    <row r="1070" customFormat="false" ht="23.85" hidden="false" customHeight="false" outlineLevel="0" collapsed="false">
      <c r="A1070" s="5" t="n">
        <v>1069</v>
      </c>
      <c r="B1070" s="5" t="s">
        <v>308</v>
      </c>
      <c r="C1070" s="5" t="s">
        <v>54</v>
      </c>
      <c r="D1070" s="5" t="s">
        <v>2072</v>
      </c>
      <c r="E1070" s="5" t="s">
        <v>2073</v>
      </c>
      <c r="F1070" s="5"/>
      <c r="G1070" s="5" t="str">
        <f aca="false">IF(EXACT(D1070,E1070),"Tetap","Diubah")</f>
        <v>Diubah</v>
      </c>
      <c r="H1070" s="5" t="s">
        <v>167</v>
      </c>
    </row>
    <row r="1071" customFormat="false" ht="23.85" hidden="false" customHeight="false" outlineLevel="0" collapsed="false">
      <c r="A1071" s="5" t="n">
        <v>1070</v>
      </c>
      <c r="B1071" s="5" t="s">
        <v>308</v>
      </c>
      <c r="C1071" s="5" t="s">
        <v>20</v>
      </c>
      <c r="D1071" s="5" t="s">
        <v>2074</v>
      </c>
      <c r="E1071" s="5" t="s">
        <v>2075</v>
      </c>
      <c r="F1071" s="5"/>
      <c r="G1071" s="5" t="str">
        <f aca="false">IF(EXACT(D1071,E1071),"Tetap","Diubah")</f>
        <v>Diubah</v>
      </c>
      <c r="H1071" s="5" t="s">
        <v>167</v>
      </c>
    </row>
    <row r="1072" customFormat="false" ht="23.85" hidden="false" customHeight="false" outlineLevel="0" collapsed="false">
      <c r="A1072" s="5" t="n">
        <v>1071</v>
      </c>
      <c r="B1072" s="5" t="s">
        <v>308</v>
      </c>
      <c r="C1072" s="5" t="s">
        <v>153</v>
      </c>
      <c r="D1072" s="5" t="s">
        <v>2076</v>
      </c>
      <c r="E1072" s="5" t="s">
        <v>2077</v>
      </c>
      <c r="F1072" s="5"/>
      <c r="G1072" s="5" t="str">
        <f aca="false">IF(EXACT(D1072,E1072),"Tetap","Diubah")</f>
        <v>Diubah</v>
      </c>
      <c r="H1072" s="5" t="s">
        <v>167</v>
      </c>
    </row>
    <row r="1073" customFormat="false" ht="23.85" hidden="false" customHeight="false" outlineLevel="0" collapsed="false">
      <c r="A1073" s="5" t="n">
        <v>1072</v>
      </c>
      <c r="B1073" s="5" t="s">
        <v>308</v>
      </c>
      <c r="C1073" s="5" t="s">
        <v>156</v>
      </c>
      <c r="D1073" s="5" t="s">
        <v>2078</v>
      </c>
      <c r="E1073" s="5" t="s">
        <v>2079</v>
      </c>
      <c r="F1073" s="5"/>
      <c r="G1073" s="5" t="str">
        <f aca="false">IF(EXACT(D1073,E1073),"Tetap","Diubah")</f>
        <v>Diubah</v>
      </c>
      <c r="H1073" s="5" t="s">
        <v>167</v>
      </c>
    </row>
    <row r="1074" customFormat="false" ht="23.85" hidden="false" customHeight="false" outlineLevel="0" collapsed="false">
      <c r="A1074" s="5" t="n">
        <v>1073</v>
      </c>
      <c r="B1074" s="5" t="s">
        <v>308</v>
      </c>
      <c r="C1074" s="5" t="s">
        <v>153</v>
      </c>
      <c r="D1074" s="5" t="s">
        <v>2080</v>
      </c>
      <c r="E1074" s="5" t="s">
        <v>2081</v>
      </c>
      <c r="F1074" s="5"/>
      <c r="G1074" s="5" t="str">
        <f aca="false">IF(EXACT(D1074,E1074),"Tetap","Diubah")</f>
        <v>Diubah</v>
      </c>
      <c r="H1074" s="5" t="s">
        <v>167</v>
      </c>
    </row>
    <row r="1075" customFormat="false" ht="23.85" hidden="false" customHeight="false" outlineLevel="0" collapsed="false">
      <c r="A1075" s="5" t="n">
        <v>1074</v>
      </c>
      <c r="B1075" s="5" t="s">
        <v>308</v>
      </c>
      <c r="C1075" s="5" t="s">
        <v>156</v>
      </c>
      <c r="D1075" s="5" t="s">
        <v>2082</v>
      </c>
      <c r="E1075" s="5" t="s">
        <v>2083</v>
      </c>
      <c r="F1075" s="5"/>
      <c r="G1075" s="5" t="str">
        <f aca="false">IF(EXACT(D1075,E1075),"Tetap","Diubah")</f>
        <v>Diubah</v>
      </c>
      <c r="H1075" s="5" t="s">
        <v>167</v>
      </c>
    </row>
    <row r="1076" customFormat="false" ht="23.85" hidden="false" customHeight="false" outlineLevel="0" collapsed="false">
      <c r="A1076" s="5" t="n">
        <v>1075</v>
      </c>
      <c r="B1076" s="5" t="s">
        <v>308</v>
      </c>
      <c r="C1076" s="5" t="s">
        <v>485</v>
      </c>
      <c r="D1076" s="5" t="s">
        <v>2084</v>
      </c>
      <c r="E1076" s="5" t="s">
        <v>2084</v>
      </c>
      <c r="F1076" s="5"/>
      <c r="G1076" s="5" t="str">
        <f aca="false">IF(EXACT(D1076,E1076),"Tetap","Diubah")</f>
        <v>Tetap</v>
      </c>
      <c r="H1076" s="5" t="s">
        <v>167</v>
      </c>
    </row>
    <row r="1077" customFormat="false" ht="23.85" hidden="false" customHeight="false" outlineLevel="0" collapsed="false">
      <c r="A1077" s="5" t="n">
        <v>1076</v>
      </c>
      <c r="B1077" s="5" t="s">
        <v>308</v>
      </c>
      <c r="C1077" s="5" t="s">
        <v>20</v>
      </c>
      <c r="D1077" s="5" t="s">
        <v>2085</v>
      </c>
      <c r="E1077" s="5" t="s">
        <v>2086</v>
      </c>
      <c r="F1077" s="5"/>
      <c r="G1077" s="5" t="str">
        <f aca="false">IF(EXACT(D1077,E1077),"Tetap","Diubah")</f>
        <v>Diubah</v>
      </c>
      <c r="H1077" s="5" t="s">
        <v>167</v>
      </c>
    </row>
    <row r="1078" customFormat="false" ht="23.85" hidden="false" customHeight="false" outlineLevel="0" collapsed="false">
      <c r="A1078" s="5" t="n">
        <v>1077</v>
      </c>
      <c r="B1078" s="5" t="s">
        <v>308</v>
      </c>
      <c r="C1078" s="5" t="s">
        <v>153</v>
      </c>
      <c r="D1078" s="5" t="s">
        <v>2087</v>
      </c>
      <c r="E1078" s="5" t="s">
        <v>2059</v>
      </c>
      <c r="F1078" s="5"/>
      <c r="G1078" s="5" t="str">
        <f aca="false">IF(EXACT(D1078,E1078),"Tetap","Diubah")</f>
        <v>Diubah</v>
      </c>
      <c r="H1078" s="5" t="s">
        <v>167</v>
      </c>
    </row>
    <row r="1079" customFormat="false" ht="23.85" hidden="false" customHeight="false" outlineLevel="0" collapsed="false">
      <c r="A1079" s="5" t="n">
        <v>1078</v>
      </c>
      <c r="B1079" s="5" t="s">
        <v>308</v>
      </c>
      <c r="C1079" s="5" t="s">
        <v>156</v>
      </c>
      <c r="D1079" s="5" t="s">
        <v>2088</v>
      </c>
      <c r="E1079" s="5" t="s">
        <v>2089</v>
      </c>
      <c r="F1079" s="5"/>
      <c r="G1079" s="5" t="str">
        <f aca="false">IF(EXACT(D1079,E1079),"Tetap","Diubah")</f>
        <v>Diubah</v>
      </c>
      <c r="H1079" s="5" t="s">
        <v>167</v>
      </c>
    </row>
    <row r="1080" customFormat="false" ht="23.85" hidden="false" customHeight="false" outlineLevel="0" collapsed="false">
      <c r="A1080" s="5" t="n">
        <v>1079</v>
      </c>
      <c r="B1080" s="5" t="s">
        <v>308</v>
      </c>
      <c r="C1080" s="5" t="s">
        <v>175</v>
      </c>
      <c r="D1080" s="5" t="s">
        <v>2090</v>
      </c>
      <c r="E1080" s="5" t="s">
        <v>2091</v>
      </c>
      <c r="F1080" s="5"/>
      <c r="G1080" s="5" t="str">
        <f aca="false">IF(EXACT(D1080,E1080),"Tetap","Diubah")</f>
        <v>Diubah</v>
      </c>
      <c r="H1080" s="5" t="s">
        <v>167</v>
      </c>
    </row>
    <row r="1081" customFormat="false" ht="23.85" hidden="false" customHeight="false" outlineLevel="0" collapsed="false">
      <c r="A1081" s="5" t="n">
        <v>1080</v>
      </c>
      <c r="B1081" s="5" t="s">
        <v>308</v>
      </c>
      <c r="C1081" s="5" t="s">
        <v>156</v>
      </c>
      <c r="D1081" s="5" t="s">
        <v>2092</v>
      </c>
      <c r="E1081" s="5" t="s">
        <v>2093</v>
      </c>
      <c r="F1081" s="5"/>
      <c r="G1081" s="5" t="str">
        <f aca="false">IF(EXACT(D1081,E1081),"Tetap","Diubah")</f>
        <v>Diubah</v>
      </c>
      <c r="H1081" s="5" t="s">
        <v>167</v>
      </c>
    </row>
    <row r="1082" customFormat="false" ht="23.85" hidden="false" customHeight="false" outlineLevel="0" collapsed="false">
      <c r="A1082" s="5" t="n">
        <v>1081</v>
      </c>
      <c r="B1082" s="5" t="s">
        <v>308</v>
      </c>
      <c r="C1082" s="5" t="s">
        <v>156</v>
      </c>
      <c r="D1082" s="5" t="s">
        <v>2094</v>
      </c>
      <c r="E1082" s="5" t="s">
        <v>2095</v>
      </c>
      <c r="F1082" s="5"/>
      <c r="G1082" s="5" t="str">
        <f aca="false">IF(EXACT(D1082,E1082),"Tetap","Diubah")</f>
        <v>Diubah</v>
      </c>
      <c r="H1082" s="5" t="s">
        <v>167</v>
      </c>
    </row>
    <row r="1083" customFormat="false" ht="23.85" hidden="false" customHeight="false" outlineLevel="0" collapsed="false">
      <c r="A1083" s="5" t="n">
        <v>1082</v>
      </c>
      <c r="B1083" s="5" t="s">
        <v>308</v>
      </c>
      <c r="C1083" s="5" t="s">
        <v>20</v>
      </c>
      <c r="D1083" s="5" t="s">
        <v>2096</v>
      </c>
      <c r="E1083" s="5" t="s">
        <v>2097</v>
      </c>
      <c r="F1083" s="5"/>
      <c r="G1083" s="5" t="str">
        <f aca="false">IF(EXACT(D1083,E1083),"Tetap","Diubah")</f>
        <v>Diubah</v>
      </c>
      <c r="H1083" s="5" t="s">
        <v>167</v>
      </c>
    </row>
    <row r="1084" customFormat="false" ht="23.85" hidden="false" customHeight="false" outlineLevel="0" collapsed="false">
      <c r="A1084" s="5" t="n">
        <v>1083</v>
      </c>
      <c r="B1084" s="5" t="s">
        <v>308</v>
      </c>
      <c r="C1084" s="5" t="s">
        <v>153</v>
      </c>
      <c r="D1084" s="5" t="s">
        <v>2098</v>
      </c>
      <c r="E1084" s="5" t="s">
        <v>2099</v>
      </c>
      <c r="F1084" s="5"/>
      <c r="G1084" s="5" t="str">
        <f aca="false">IF(EXACT(D1084,E1084),"Tetap","Diubah")</f>
        <v>Diubah</v>
      </c>
      <c r="H1084" s="5" t="s">
        <v>167</v>
      </c>
    </row>
    <row r="1085" customFormat="false" ht="23.85" hidden="false" customHeight="false" outlineLevel="0" collapsed="false">
      <c r="A1085" s="5" t="n">
        <v>1084</v>
      </c>
      <c r="B1085" s="5" t="s">
        <v>308</v>
      </c>
      <c r="C1085" s="5" t="s">
        <v>20</v>
      </c>
      <c r="D1085" s="5" t="s">
        <v>2100</v>
      </c>
      <c r="E1085" s="5" t="s">
        <v>2101</v>
      </c>
      <c r="F1085" s="5"/>
      <c r="G1085" s="5" t="str">
        <f aca="false">IF(EXACT(D1085,E1085),"Tetap","Diubah")</f>
        <v>Diubah</v>
      </c>
      <c r="H1085" s="5" t="s">
        <v>167</v>
      </c>
    </row>
    <row r="1086" customFormat="false" ht="23.85" hidden="false" customHeight="false" outlineLevel="0" collapsed="false">
      <c r="A1086" s="5" t="n">
        <v>1085</v>
      </c>
      <c r="B1086" s="5" t="s">
        <v>308</v>
      </c>
      <c r="C1086" s="5" t="s">
        <v>175</v>
      </c>
      <c r="D1086" s="5" t="s">
        <v>2102</v>
      </c>
      <c r="E1086" s="5" t="s">
        <v>2103</v>
      </c>
      <c r="F1086" s="5"/>
      <c r="G1086" s="5" t="str">
        <f aca="false">IF(EXACT(D1086,E1086),"Tetap","Diubah")</f>
        <v>Diubah</v>
      </c>
      <c r="H1086" s="5" t="s">
        <v>167</v>
      </c>
    </row>
    <row r="1087" customFormat="false" ht="23.85" hidden="false" customHeight="false" outlineLevel="0" collapsed="false">
      <c r="A1087" s="5" t="n">
        <v>1086</v>
      </c>
      <c r="B1087" s="5" t="s">
        <v>308</v>
      </c>
      <c r="C1087" s="5" t="s">
        <v>156</v>
      </c>
      <c r="D1087" s="5" t="s">
        <v>2104</v>
      </c>
      <c r="E1087" s="5" t="s">
        <v>2105</v>
      </c>
      <c r="F1087" s="5"/>
      <c r="G1087" s="5" t="str">
        <f aca="false">IF(EXACT(D1087,E1087),"Tetap","Diubah")</f>
        <v>Diubah</v>
      </c>
      <c r="H1087" s="5" t="s">
        <v>167</v>
      </c>
    </row>
    <row r="1088" customFormat="false" ht="23.85" hidden="false" customHeight="false" outlineLevel="0" collapsed="false">
      <c r="A1088" s="5" t="n">
        <v>1087</v>
      </c>
      <c r="B1088" s="5" t="s">
        <v>308</v>
      </c>
      <c r="C1088" s="5" t="s">
        <v>485</v>
      </c>
      <c r="D1088" s="5" t="s">
        <v>2106</v>
      </c>
      <c r="E1088" s="5" t="s">
        <v>2107</v>
      </c>
      <c r="F1088" s="5"/>
      <c r="G1088" s="5" t="str">
        <f aca="false">IF(EXACT(D1088,E1088),"Tetap","Diubah")</f>
        <v>Diubah</v>
      </c>
      <c r="H1088" s="5" t="s">
        <v>167</v>
      </c>
    </row>
    <row r="1089" customFormat="false" ht="23.85" hidden="false" customHeight="false" outlineLevel="0" collapsed="false">
      <c r="A1089" s="5" t="n">
        <v>1088</v>
      </c>
      <c r="B1089" s="5" t="s">
        <v>308</v>
      </c>
      <c r="C1089" s="5" t="s">
        <v>156</v>
      </c>
      <c r="D1089" s="5" t="s">
        <v>2108</v>
      </c>
      <c r="E1089" s="5" t="s">
        <v>2109</v>
      </c>
      <c r="F1089" s="5"/>
      <c r="G1089" s="5" t="str">
        <f aca="false">IF(EXACT(D1089,E1089),"Tetap","Diubah")</f>
        <v>Diubah</v>
      </c>
      <c r="H1089" s="5" t="s">
        <v>167</v>
      </c>
    </row>
    <row r="1090" customFormat="false" ht="23.85" hidden="false" customHeight="false" outlineLevel="0" collapsed="false">
      <c r="A1090" s="5" t="n">
        <v>1089</v>
      </c>
      <c r="B1090" s="5" t="s">
        <v>308</v>
      </c>
      <c r="C1090" s="5" t="s">
        <v>153</v>
      </c>
      <c r="D1090" s="5" t="s">
        <v>2110</v>
      </c>
      <c r="E1090" s="5" t="s">
        <v>2110</v>
      </c>
      <c r="F1090" s="5" t="s">
        <v>28</v>
      </c>
      <c r="G1090" s="5" t="str">
        <f aca="false">IF(EXACT(D1090,E1090),"Tetap","Diubah")</f>
        <v>Tetap</v>
      </c>
      <c r="H1090" s="5" t="s">
        <v>167</v>
      </c>
    </row>
    <row r="1091" customFormat="false" ht="23.85" hidden="false" customHeight="false" outlineLevel="0" collapsed="false">
      <c r="A1091" s="5" t="n">
        <v>1090</v>
      </c>
      <c r="B1091" s="5" t="s">
        <v>308</v>
      </c>
      <c r="C1091" s="5" t="s">
        <v>163</v>
      </c>
      <c r="D1091" s="5" t="s">
        <v>2111</v>
      </c>
      <c r="E1091" s="5" t="s">
        <v>2112</v>
      </c>
      <c r="F1091" s="5"/>
      <c r="G1091" s="5" t="str">
        <f aca="false">IF(EXACT(D1091,E1091),"Tetap","Diubah")</f>
        <v>Diubah</v>
      </c>
      <c r="H1091" s="5" t="s">
        <v>167</v>
      </c>
    </row>
    <row r="1092" customFormat="false" ht="23.85" hidden="false" customHeight="false" outlineLevel="0" collapsed="false">
      <c r="A1092" s="5" t="n">
        <v>1091</v>
      </c>
      <c r="B1092" s="5" t="s">
        <v>308</v>
      </c>
      <c r="C1092" s="5" t="s">
        <v>156</v>
      </c>
      <c r="D1092" s="5" t="s">
        <v>2113</v>
      </c>
      <c r="E1092" s="5" t="s">
        <v>2114</v>
      </c>
      <c r="F1092" s="5"/>
      <c r="G1092" s="5" t="str">
        <f aca="false">IF(EXACT(D1092,E1092),"Tetap","Diubah")</f>
        <v>Diubah</v>
      </c>
      <c r="H1092" s="5" t="s">
        <v>167</v>
      </c>
    </row>
    <row r="1093" customFormat="false" ht="23.85" hidden="false" customHeight="false" outlineLevel="0" collapsed="false">
      <c r="A1093" s="5" t="n">
        <v>1092</v>
      </c>
      <c r="B1093" s="5" t="s">
        <v>308</v>
      </c>
      <c r="C1093" s="5" t="s">
        <v>20</v>
      </c>
      <c r="D1093" s="5" t="s">
        <v>2115</v>
      </c>
      <c r="E1093" s="5" t="s">
        <v>2116</v>
      </c>
      <c r="F1093" s="5"/>
      <c r="G1093" s="5" t="str">
        <f aca="false">IF(EXACT(D1093,E1093),"Tetap","Diubah")</f>
        <v>Diubah</v>
      </c>
      <c r="H1093" s="5" t="s">
        <v>167</v>
      </c>
    </row>
    <row r="1094" customFormat="false" ht="23.85" hidden="false" customHeight="false" outlineLevel="0" collapsed="false">
      <c r="A1094" s="5" t="n">
        <v>1093</v>
      </c>
      <c r="B1094" s="5" t="s">
        <v>308</v>
      </c>
      <c r="C1094" s="5" t="s">
        <v>485</v>
      </c>
      <c r="D1094" s="5" t="s">
        <v>2117</v>
      </c>
      <c r="E1094" s="5" t="s">
        <v>2118</v>
      </c>
      <c r="F1094" s="5"/>
      <c r="G1094" s="5" t="str">
        <f aca="false">IF(EXACT(D1094,E1094),"Tetap","Diubah")</f>
        <v>Diubah</v>
      </c>
      <c r="H1094" s="5" t="s">
        <v>167</v>
      </c>
    </row>
    <row r="1095" customFormat="false" ht="23.85" hidden="false" customHeight="false" outlineLevel="0" collapsed="false">
      <c r="A1095" s="5" t="n">
        <v>1094</v>
      </c>
      <c r="B1095" s="5" t="s">
        <v>308</v>
      </c>
      <c r="C1095" s="5" t="s">
        <v>156</v>
      </c>
      <c r="D1095" s="5" t="s">
        <v>2119</v>
      </c>
      <c r="E1095" s="5" t="s">
        <v>2120</v>
      </c>
      <c r="F1095" s="5"/>
      <c r="G1095" s="5" t="str">
        <f aca="false">IF(EXACT(D1095,E1095),"Tetap","Diubah")</f>
        <v>Diubah</v>
      </c>
      <c r="H1095" s="5" t="s">
        <v>167</v>
      </c>
    </row>
    <row r="1096" customFormat="false" ht="23.85" hidden="false" customHeight="false" outlineLevel="0" collapsed="false">
      <c r="A1096" s="5" t="n">
        <v>1095</v>
      </c>
      <c r="B1096" s="5" t="s">
        <v>308</v>
      </c>
      <c r="C1096" s="5" t="s">
        <v>153</v>
      </c>
      <c r="D1096" s="5" t="s">
        <v>2121</v>
      </c>
      <c r="E1096" s="5" t="s">
        <v>2122</v>
      </c>
      <c r="F1096" s="5"/>
      <c r="G1096" s="5" t="str">
        <f aca="false">IF(EXACT(D1096,E1096),"Tetap","Diubah")</f>
        <v>Diubah</v>
      </c>
      <c r="H1096" s="5" t="s">
        <v>167</v>
      </c>
    </row>
    <row r="1097" customFormat="false" ht="23.85" hidden="false" customHeight="false" outlineLevel="0" collapsed="false">
      <c r="A1097" s="5" t="n">
        <v>1096</v>
      </c>
      <c r="B1097" s="5" t="s">
        <v>308</v>
      </c>
      <c r="C1097" s="5" t="s">
        <v>156</v>
      </c>
      <c r="D1097" s="5" t="s">
        <v>2123</v>
      </c>
      <c r="E1097" s="5" t="s">
        <v>2124</v>
      </c>
      <c r="F1097" s="5"/>
      <c r="G1097" s="5" t="str">
        <f aca="false">IF(EXACT(D1097,E1097),"Tetap","Diubah")</f>
        <v>Diubah</v>
      </c>
      <c r="H1097" s="5" t="s">
        <v>167</v>
      </c>
    </row>
    <row r="1098" customFormat="false" ht="23.85" hidden="false" customHeight="false" outlineLevel="0" collapsed="false">
      <c r="A1098" s="5" t="n">
        <v>1097</v>
      </c>
      <c r="B1098" s="5" t="s">
        <v>308</v>
      </c>
      <c r="C1098" s="5" t="s">
        <v>485</v>
      </c>
      <c r="D1098" s="5" t="s">
        <v>2125</v>
      </c>
      <c r="E1098" s="5" t="s">
        <v>2126</v>
      </c>
      <c r="F1098" s="5"/>
      <c r="G1098" s="5" t="str">
        <f aca="false">IF(EXACT(D1098,E1098),"Tetap","Diubah")</f>
        <v>Diubah</v>
      </c>
      <c r="H1098" s="5" t="s">
        <v>167</v>
      </c>
    </row>
    <row r="1099" customFormat="false" ht="23.85" hidden="false" customHeight="false" outlineLevel="0" collapsed="false">
      <c r="A1099" s="5" t="n">
        <v>1098</v>
      </c>
      <c r="B1099" s="5" t="s">
        <v>308</v>
      </c>
      <c r="C1099" s="5" t="s">
        <v>20</v>
      </c>
      <c r="D1099" s="5" t="s">
        <v>2127</v>
      </c>
      <c r="E1099" s="5" t="s">
        <v>2128</v>
      </c>
      <c r="F1099" s="5"/>
      <c r="G1099" s="5" t="str">
        <f aca="false">IF(EXACT(D1099,E1099),"Tetap","Diubah")</f>
        <v>Diubah</v>
      </c>
      <c r="H1099" s="5" t="s">
        <v>167</v>
      </c>
    </row>
    <row r="1100" customFormat="false" ht="23.85" hidden="false" customHeight="false" outlineLevel="0" collapsed="false">
      <c r="A1100" s="5" t="n">
        <v>1099</v>
      </c>
      <c r="B1100" s="5" t="s">
        <v>308</v>
      </c>
      <c r="C1100" s="5" t="s">
        <v>163</v>
      </c>
      <c r="D1100" s="5" t="s">
        <v>2129</v>
      </c>
      <c r="E1100" s="5" t="s">
        <v>2130</v>
      </c>
      <c r="F1100" s="5"/>
      <c r="G1100" s="5" t="str">
        <f aca="false">IF(EXACT(D1100,E1100),"Tetap","Diubah")</f>
        <v>Diubah</v>
      </c>
      <c r="H1100" s="5" t="s">
        <v>167</v>
      </c>
    </row>
    <row r="1101" customFormat="false" ht="23.85" hidden="false" customHeight="false" outlineLevel="0" collapsed="false">
      <c r="A1101" s="5" t="n">
        <v>1100</v>
      </c>
      <c r="B1101" s="5" t="s">
        <v>308</v>
      </c>
      <c r="C1101" s="5" t="s">
        <v>156</v>
      </c>
      <c r="D1101" s="5" t="s">
        <v>2131</v>
      </c>
      <c r="E1101" s="5" t="s">
        <v>2132</v>
      </c>
      <c r="F1101" s="5"/>
      <c r="G1101" s="5" t="str">
        <f aca="false">IF(EXACT(D1101,E1101),"Tetap","Diubah")</f>
        <v>Diubah</v>
      </c>
      <c r="H1101" s="5" t="s">
        <v>167</v>
      </c>
    </row>
    <row r="1102" customFormat="false" ht="23.85" hidden="false" customHeight="false" outlineLevel="0" collapsed="false">
      <c r="A1102" s="5" t="n">
        <v>1101</v>
      </c>
      <c r="B1102" s="5" t="s">
        <v>308</v>
      </c>
      <c r="C1102" s="5" t="s">
        <v>485</v>
      </c>
      <c r="D1102" s="5" t="s">
        <v>2133</v>
      </c>
      <c r="E1102" s="5" t="s">
        <v>2134</v>
      </c>
      <c r="F1102" s="5"/>
      <c r="G1102" s="5" t="str">
        <f aca="false">IF(EXACT(D1102,E1102),"Tetap","Diubah")</f>
        <v>Diubah</v>
      </c>
      <c r="H1102" s="5" t="s">
        <v>167</v>
      </c>
    </row>
    <row r="1103" customFormat="false" ht="23.85" hidden="false" customHeight="false" outlineLevel="0" collapsed="false">
      <c r="A1103" s="5" t="n">
        <v>1102</v>
      </c>
      <c r="B1103" s="5" t="s">
        <v>308</v>
      </c>
      <c r="C1103" s="5" t="s">
        <v>156</v>
      </c>
      <c r="D1103" s="5" t="s">
        <v>2135</v>
      </c>
      <c r="E1103" s="5" t="s">
        <v>2136</v>
      </c>
      <c r="F1103" s="5"/>
      <c r="G1103" s="5" t="str">
        <f aca="false">IF(EXACT(D1103,E1103),"Tetap","Diubah")</f>
        <v>Diubah</v>
      </c>
      <c r="H1103" s="5" t="s">
        <v>167</v>
      </c>
    </row>
    <row r="1104" customFormat="false" ht="23.85" hidden="false" customHeight="false" outlineLevel="0" collapsed="false">
      <c r="A1104" s="5" t="n">
        <v>1103</v>
      </c>
      <c r="B1104" s="5" t="s">
        <v>308</v>
      </c>
      <c r="C1104" s="5" t="s">
        <v>163</v>
      </c>
      <c r="D1104" s="5" t="s">
        <v>2137</v>
      </c>
      <c r="E1104" s="5" t="s">
        <v>2138</v>
      </c>
      <c r="F1104" s="5"/>
      <c r="G1104" s="5" t="str">
        <f aca="false">IF(EXACT(D1104,E1104),"Tetap","Diubah")</f>
        <v>Diubah</v>
      </c>
      <c r="H1104" s="5" t="s">
        <v>167</v>
      </c>
    </row>
    <row r="1105" customFormat="false" ht="23.85" hidden="false" customHeight="false" outlineLevel="0" collapsed="false">
      <c r="A1105" s="5" t="n">
        <v>1104</v>
      </c>
      <c r="B1105" s="5" t="s">
        <v>308</v>
      </c>
      <c r="C1105" s="5" t="s">
        <v>156</v>
      </c>
      <c r="D1105" s="5" t="s">
        <v>2139</v>
      </c>
      <c r="E1105" s="5" t="s">
        <v>2140</v>
      </c>
      <c r="F1105" s="5"/>
      <c r="G1105" s="5" t="str">
        <f aca="false">IF(EXACT(D1105,E1105),"Tetap","Diubah")</f>
        <v>Diubah</v>
      </c>
      <c r="H1105" s="5" t="s">
        <v>167</v>
      </c>
    </row>
    <row r="1106" customFormat="false" ht="23.85" hidden="false" customHeight="false" outlineLevel="0" collapsed="false">
      <c r="A1106" s="5" t="n">
        <v>1105</v>
      </c>
      <c r="B1106" s="5" t="s">
        <v>308</v>
      </c>
      <c r="C1106" s="5" t="s">
        <v>163</v>
      </c>
      <c r="D1106" s="5" t="s">
        <v>2141</v>
      </c>
      <c r="E1106" s="5" t="s">
        <v>2142</v>
      </c>
      <c r="F1106" s="5"/>
      <c r="G1106" s="5" t="str">
        <f aca="false">IF(EXACT(D1106,E1106),"Tetap","Diubah")</f>
        <v>Diubah</v>
      </c>
      <c r="H1106" s="5" t="s">
        <v>167</v>
      </c>
    </row>
    <row r="1107" customFormat="false" ht="23.85" hidden="false" customHeight="false" outlineLevel="0" collapsed="false">
      <c r="A1107" s="5" t="n">
        <v>1106</v>
      </c>
      <c r="B1107" s="5" t="s">
        <v>308</v>
      </c>
      <c r="C1107" s="5" t="s">
        <v>156</v>
      </c>
      <c r="D1107" s="5" t="s">
        <v>2143</v>
      </c>
      <c r="E1107" s="5" t="s">
        <v>2144</v>
      </c>
      <c r="F1107" s="5"/>
      <c r="G1107" s="5" t="str">
        <f aca="false">IF(EXACT(D1107,E1107),"Tetap","Diubah")</f>
        <v>Diubah</v>
      </c>
      <c r="H1107" s="5" t="s">
        <v>167</v>
      </c>
    </row>
    <row r="1108" customFormat="false" ht="23.85" hidden="false" customHeight="false" outlineLevel="0" collapsed="false">
      <c r="A1108" s="5" t="n">
        <v>1107</v>
      </c>
      <c r="B1108" s="5" t="s">
        <v>308</v>
      </c>
      <c r="C1108" s="5" t="s">
        <v>156</v>
      </c>
      <c r="D1108" s="5" t="s">
        <v>2145</v>
      </c>
      <c r="E1108" s="5" t="s">
        <v>2146</v>
      </c>
      <c r="F1108" s="5"/>
      <c r="G1108" s="5" t="str">
        <f aca="false">IF(EXACT(D1108,E1108),"Tetap","Diubah")</f>
        <v>Diubah</v>
      </c>
      <c r="H1108" s="5" t="s">
        <v>167</v>
      </c>
    </row>
    <row r="1109" customFormat="false" ht="23.85" hidden="false" customHeight="false" outlineLevel="0" collapsed="false">
      <c r="A1109" s="5" t="n">
        <v>1108</v>
      </c>
      <c r="B1109" s="5" t="s">
        <v>308</v>
      </c>
      <c r="C1109" s="5" t="s">
        <v>156</v>
      </c>
      <c r="D1109" s="5" t="s">
        <v>2147</v>
      </c>
      <c r="E1109" s="5" t="s">
        <v>2148</v>
      </c>
      <c r="F1109" s="5"/>
      <c r="G1109" s="5" t="str">
        <f aca="false">IF(EXACT(D1109,E1109),"Tetap","Diubah")</f>
        <v>Diubah</v>
      </c>
      <c r="H1109" s="5" t="s">
        <v>167</v>
      </c>
    </row>
    <row r="1110" customFormat="false" ht="23.85" hidden="false" customHeight="false" outlineLevel="0" collapsed="false">
      <c r="A1110" s="5" t="n">
        <v>1109</v>
      </c>
      <c r="B1110" s="5" t="s">
        <v>308</v>
      </c>
      <c r="C1110" s="5" t="s">
        <v>153</v>
      </c>
      <c r="D1110" s="5" t="s">
        <v>2149</v>
      </c>
      <c r="E1110" s="5" t="s">
        <v>2150</v>
      </c>
      <c r="F1110" s="5"/>
      <c r="G1110" s="5" t="str">
        <f aca="false">IF(EXACT(D1110,E1110),"Tetap","Diubah")</f>
        <v>Diubah</v>
      </c>
      <c r="H1110" s="5" t="s">
        <v>167</v>
      </c>
    </row>
    <row r="1111" customFormat="false" ht="23.85" hidden="false" customHeight="false" outlineLevel="0" collapsed="false">
      <c r="A1111" s="5" t="n">
        <v>1110</v>
      </c>
      <c r="B1111" s="5" t="s">
        <v>308</v>
      </c>
      <c r="C1111" s="5" t="s">
        <v>485</v>
      </c>
      <c r="D1111" s="5" t="s">
        <v>2151</v>
      </c>
      <c r="E1111" s="5" t="s">
        <v>2152</v>
      </c>
      <c r="F1111" s="5"/>
      <c r="G1111" s="5" t="str">
        <f aca="false">IF(EXACT(D1111,E1111),"Tetap","Diubah")</f>
        <v>Diubah</v>
      </c>
      <c r="H1111" s="5" t="s">
        <v>167</v>
      </c>
    </row>
    <row r="1112" customFormat="false" ht="23.85" hidden="false" customHeight="false" outlineLevel="0" collapsed="false">
      <c r="A1112" s="5" t="n">
        <v>1111</v>
      </c>
      <c r="B1112" s="5" t="s">
        <v>308</v>
      </c>
      <c r="C1112" s="5" t="s">
        <v>156</v>
      </c>
      <c r="D1112" s="5" t="s">
        <v>2153</v>
      </c>
      <c r="E1112" s="5" t="s">
        <v>2154</v>
      </c>
      <c r="F1112" s="5"/>
      <c r="G1112" s="5" t="str">
        <f aca="false">IF(EXACT(D1112,E1112),"Tetap","Diubah")</f>
        <v>Diubah</v>
      </c>
      <c r="H1112" s="5" t="s">
        <v>167</v>
      </c>
    </row>
    <row r="1113" customFormat="false" ht="23.85" hidden="false" customHeight="false" outlineLevel="0" collapsed="false">
      <c r="A1113" s="5" t="n">
        <v>1112</v>
      </c>
      <c r="B1113" s="5" t="s">
        <v>308</v>
      </c>
      <c r="C1113" s="5" t="s">
        <v>20</v>
      </c>
      <c r="D1113" s="5" t="s">
        <v>2155</v>
      </c>
      <c r="E1113" s="5" t="s">
        <v>2155</v>
      </c>
      <c r="F1113" s="5" t="s">
        <v>28</v>
      </c>
      <c r="G1113" s="5" t="str">
        <f aca="false">IF(EXACT(D1113,E1113),"Tetap","Diubah")</f>
        <v>Tetap</v>
      </c>
      <c r="H1113" s="5" t="s">
        <v>167</v>
      </c>
    </row>
    <row r="1114" customFormat="false" ht="23.85" hidden="false" customHeight="false" outlineLevel="0" collapsed="false">
      <c r="A1114" s="5" t="n">
        <v>1113</v>
      </c>
      <c r="B1114" s="5" t="s">
        <v>308</v>
      </c>
      <c r="C1114" s="5" t="s">
        <v>163</v>
      </c>
      <c r="D1114" s="5" t="s">
        <v>2156</v>
      </c>
      <c r="E1114" s="5" t="s">
        <v>2157</v>
      </c>
      <c r="F1114" s="5"/>
      <c r="G1114" s="5" t="str">
        <f aca="false">IF(EXACT(D1114,E1114),"Tetap","Diubah")</f>
        <v>Diubah</v>
      </c>
      <c r="H1114" s="5" t="s">
        <v>167</v>
      </c>
    </row>
    <row r="1115" customFormat="false" ht="23.85" hidden="false" customHeight="false" outlineLevel="0" collapsed="false">
      <c r="A1115" s="5" t="n">
        <v>1114</v>
      </c>
      <c r="B1115" s="5" t="s">
        <v>308</v>
      </c>
      <c r="C1115" s="5" t="s">
        <v>156</v>
      </c>
      <c r="D1115" s="5" t="s">
        <v>2158</v>
      </c>
      <c r="E1115" s="5" t="s">
        <v>2159</v>
      </c>
      <c r="F1115" s="5"/>
      <c r="G1115" s="5" t="str">
        <f aca="false">IF(EXACT(D1115,E1115),"Tetap","Diubah")</f>
        <v>Diubah</v>
      </c>
      <c r="H1115" s="5" t="s">
        <v>167</v>
      </c>
    </row>
    <row r="1116" customFormat="false" ht="23.85" hidden="false" customHeight="false" outlineLevel="0" collapsed="false">
      <c r="A1116" s="5" t="n">
        <v>1115</v>
      </c>
      <c r="B1116" s="5" t="s">
        <v>308</v>
      </c>
      <c r="C1116" s="5" t="s">
        <v>153</v>
      </c>
      <c r="D1116" s="5" t="s">
        <v>2160</v>
      </c>
      <c r="E1116" s="5" t="s">
        <v>2161</v>
      </c>
      <c r="F1116" s="5"/>
      <c r="G1116" s="5" t="str">
        <f aca="false">IF(EXACT(D1116,E1116),"Tetap","Diubah")</f>
        <v>Diubah</v>
      </c>
      <c r="H1116" s="5" t="s">
        <v>167</v>
      </c>
    </row>
    <row r="1117" customFormat="false" ht="23.85" hidden="false" customHeight="false" outlineLevel="0" collapsed="false">
      <c r="A1117" s="5" t="n">
        <v>1116</v>
      </c>
      <c r="B1117" s="5" t="s">
        <v>308</v>
      </c>
      <c r="C1117" s="5" t="s">
        <v>156</v>
      </c>
      <c r="D1117" s="5" t="s">
        <v>2162</v>
      </c>
      <c r="E1117" s="5" t="s">
        <v>2163</v>
      </c>
      <c r="F1117" s="5"/>
      <c r="G1117" s="5" t="str">
        <f aca="false">IF(EXACT(D1117,E1117),"Tetap","Diubah")</f>
        <v>Diubah</v>
      </c>
      <c r="H1117" s="5" t="s">
        <v>167</v>
      </c>
    </row>
    <row r="1118" customFormat="false" ht="23.85" hidden="false" customHeight="false" outlineLevel="0" collapsed="false">
      <c r="A1118" s="5" t="n">
        <v>1117</v>
      </c>
      <c r="B1118" s="5" t="s">
        <v>308</v>
      </c>
      <c r="C1118" s="5" t="s">
        <v>163</v>
      </c>
      <c r="D1118" s="5" t="s">
        <v>2164</v>
      </c>
      <c r="E1118" s="5" t="s">
        <v>2165</v>
      </c>
      <c r="F1118" s="5"/>
      <c r="G1118" s="5" t="str">
        <f aca="false">IF(EXACT(D1118,E1118),"Tetap","Diubah")</f>
        <v>Diubah</v>
      </c>
      <c r="H1118" s="5" t="s">
        <v>167</v>
      </c>
    </row>
    <row r="1119" customFormat="false" ht="23.85" hidden="false" customHeight="false" outlineLevel="0" collapsed="false">
      <c r="A1119" s="5" t="n">
        <v>1118</v>
      </c>
      <c r="B1119" s="5" t="s">
        <v>308</v>
      </c>
      <c r="C1119" s="5" t="s">
        <v>156</v>
      </c>
      <c r="D1119" s="5" t="s">
        <v>2166</v>
      </c>
      <c r="E1119" s="5" t="s">
        <v>2167</v>
      </c>
      <c r="F1119" s="5"/>
      <c r="G1119" s="5" t="str">
        <f aca="false">IF(EXACT(D1119,E1119),"Tetap","Diubah")</f>
        <v>Diubah</v>
      </c>
      <c r="H1119" s="5" t="s">
        <v>167</v>
      </c>
    </row>
    <row r="1120" customFormat="false" ht="23.85" hidden="false" customHeight="false" outlineLevel="0" collapsed="false">
      <c r="A1120" s="5" t="n">
        <v>1119</v>
      </c>
      <c r="B1120" s="5" t="s">
        <v>308</v>
      </c>
      <c r="C1120" s="5" t="s">
        <v>485</v>
      </c>
      <c r="D1120" s="5" t="s">
        <v>2168</v>
      </c>
      <c r="E1120" s="5" t="s">
        <v>2169</v>
      </c>
      <c r="F1120" s="5"/>
      <c r="G1120" s="5" t="str">
        <f aca="false">IF(EXACT(D1120,E1120),"Tetap","Diubah")</f>
        <v>Diubah</v>
      </c>
      <c r="H1120" s="5" t="s">
        <v>167</v>
      </c>
    </row>
    <row r="1121" customFormat="false" ht="23.85" hidden="false" customHeight="false" outlineLevel="0" collapsed="false">
      <c r="A1121" s="5" t="n">
        <v>1120</v>
      </c>
      <c r="B1121" s="5" t="s">
        <v>308</v>
      </c>
      <c r="C1121" s="5" t="s">
        <v>156</v>
      </c>
      <c r="D1121" s="5" t="s">
        <v>2170</v>
      </c>
      <c r="E1121" s="5" t="s">
        <v>2171</v>
      </c>
      <c r="F1121" s="5"/>
      <c r="G1121" s="5" t="str">
        <f aca="false">IF(EXACT(D1121,E1121),"Tetap","Diubah")</f>
        <v>Diubah</v>
      </c>
      <c r="H1121" s="5" t="s">
        <v>167</v>
      </c>
    </row>
    <row r="1122" customFormat="false" ht="23.85" hidden="false" customHeight="false" outlineLevel="0" collapsed="false">
      <c r="A1122" s="5" t="n">
        <v>1121</v>
      </c>
      <c r="B1122" s="5" t="s">
        <v>308</v>
      </c>
      <c r="C1122" s="5" t="s">
        <v>163</v>
      </c>
      <c r="D1122" s="5" t="s">
        <v>2172</v>
      </c>
      <c r="E1122" s="5" t="s">
        <v>2173</v>
      </c>
      <c r="F1122" s="5"/>
      <c r="G1122" s="5" t="str">
        <f aca="false">IF(EXACT(D1122,E1122),"Tetap","Diubah")</f>
        <v>Diubah</v>
      </c>
      <c r="H1122" s="5" t="s">
        <v>167</v>
      </c>
    </row>
    <row r="1123" customFormat="false" ht="23.85" hidden="false" customHeight="false" outlineLevel="0" collapsed="false">
      <c r="A1123" s="5" t="n">
        <v>1122</v>
      </c>
      <c r="B1123" s="5" t="s">
        <v>308</v>
      </c>
      <c r="C1123" s="5" t="s">
        <v>156</v>
      </c>
      <c r="D1123" s="5" t="s">
        <v>2174</v>
      </c>
      <c r="E1123" s="5" t="s">
        <v>2175</v>
      </c>
      <c r="F1123" s="5"/>
      <c r="G1123" s="5" t="str">
        <f aca="false">IF(EXACT(D1123,E1123),"Tetap","Diubah")</f>
        <v>Diubah</v>
      </c>
      <c r="H1123" s="5" t="s">
        <v>167</v>
      </c>
    </row>
    <row r="1124" customFormat="false" ht="23.85" hidden="false" customHeight="false" outlineLevel="0" collapsed="false">
      <c r="A1124" s="5" t="n">
        <v>1123</v>
      </c>
      <c r="B1124" s="5" t="s">
        <v>308</v>
      </c>
      <c r="C1124" s="5" t="s">
        <v>175</v>
      </c>
      <c r="D1124" s="5" t="s">
        <v>2176</v>
      </c>
      <c r="E1124" s="5" t="s">
        <v>2177</v>
      </c>
      <c r="F1124" s="5"/>
      <c r="G1124" s="5" t="str">
        <f aca="false">IF(EXACT(D1124,E1124),"Tetap","Diubah")</f>
        <v>Diubah</v>
      </c>
      <c r="H1124" s="5" t="s">
        <v>167</v>
      </c>
    </row>
    <row r="1125" customFormat="false" ht="23.85" hidden="false" customHeight="false" outlineLevel="0" collapsed="false">
      <c r="A1125" s="5" t="n">
        <v>1124</v>
      </c>
      <c r="B1125" s="5" t="s">
        <v>308</v>
      </c>
      <c r="C1125" s="5" t="s">
        <v>163</v>
      </c>
      <c r="D1125" s="5" t="s">
        <v>2178</v>
      </c>
      <c r="E1125" s="5" t="s">
        <v>2179</v>
      </c>
      <c r="F1125" s="5"/>
      <c r="G1125" s="5" t="str">
        <f aca="false">IF(EXACT(D1125,E1125),"Tetap","Diubah")</f>
        <v>Diubah</v>
      </c>
      <c r="H1125" s="5" t="s">
        <v>167</v>
      </c>
    </row>
    <row r="1126" customFormat="false" ht="23.85" hidden="false" customHeight="false" outlineLevel="0" collapsed="false">
      <c r="A1126" s="5" t="n">
        <v>1125</v>
      </c>
      <c r="B1126" s="5" t="s">
        <v>308</v>
      </c>
      <c r="C1126" s="5" t="s">
        <v>156</v>
      </c>
      <c r="D1126" s="5" t="s">
        <v>2180</v>
      </c>
      <c r="E1126" s="5" t="s">
        <v>2180</v>
      </c>
      <c r="F1126" s="5"/>
      <c r="G1126" s="5" t="str">
        <f aca="false">IF(EXACT(D1126,E1126),"Tetap","Diubah")</f>
        <v>Tetap</v>
      </c>
      <c r="H1126" s="5" t="s">
        <v>167</v>
      </c>
    </row>
    <row r="1127" customFormat="false" ht="23.85" hidden="false" customHeight="false" outlineLevel="0" collapsed="false">
      <c r="A1127" s="5" t="n">
        <v>1126</v>
      </c>
      <c r="B1127" s="5" t="s">
        <v>308</v>
      </c>
      <c r="C1127" s="5" t="s">
        <v>163</v>
      </c>
      <c r="D1127" s="5" t="s">
        <v>2181</v>
      </c>
      <c r="E1127" s="5" t="s">
        <v>2182</v>
      </c>
      <c r="F1127" s="5"/>
      <c r="G1127" s="5" t="str">
        <f aca="false">IF(EXACT(D1127,E1127),"Tetap","Diubah")</f>
        <v>Diubah</v>
      </c>
      <c r="H1127" s="5" t="s">
        <v>167</v>
      </c>
    </row>
    <row r="1128" customFormat="false" ht="23.85" hidden="false" customHeight="false" outlineLevel="0" collapsed="false">
      <c r="A1128" s="5" t="n">
        <v>1127</v>
      </c>
      <c r="B1128" s="5" t="s">
        <v>308</v>
      </c>
      <c r="C1128" s="5" t="s">
        <v>156</v>
      </c>
      <c r="D1128" s="5" t="s">
        <v>2183</v>
      </c>
      <c r="E1128" s="5" t="s">
        <v>2184</v>
      </c>
      <c r="F1128" s="5"/>
      <c r="G1128" s="5" t="str">
        <f aca="false">IF(EXACT(D1128,E1128),"Tetap","Diubah")</f>
        <v>Diubah</v>
      </c>
      <c r="H1128" s="5" t="s">
        <v>167</v>
      </c>
    </row>
    <row r="1129" customFormat="false" ht="23.85" hidden="false" customHeight="false" outlineLevel="0" collapsed="false">
      <c r="A1129" s="5" t="n">
        <v>1128</v>
      </c>
      <c r="B1129" s="5" t="s">
        <v>308</v>
      </c>
      <c r="C1129" s="5" t="s">
        <v>153</v>
      </c>
      <c r="D1129" s="5" t="s">
        <v>2185</v>
      </c>
      <c r="E1129" s="5" t="s">
        <v>1862</v>
      </c>
      <c r="F1129" s="5"/>
      <c r="G1129" s="5" t="str">
        <f aca="false">IF(EXACT(D1129,E1129),"Tetap","Diubah")</f>
        <v>Diubah</v>
      </c>
      <c r="H1129" s="5" t="s">
        <v>167</v>
      </c>
    </row>
    <row r="1130" customFormat="false" ht="23.85" hidden="false" customHeight="false" outlineLevel="0" collapsed="false">
      <c r="A1130" s="5" t="n">
        <v>1129</v>
      </c>
      <c r="B1130" s="5" t="s">
        <v>308</v>
      </c>
      <c r="C1130" s="5" t="s">
        <v>163</v>
      </c>
      <c r="D1130" s="5" t="s">
        <v>2186</v>
      </c>
      <c r="E1130" s="5" t="s">
        <v>2187</v>
      </c>
      <c r="F1130" s="5"/>
      <c r="G1130" s="5" t="str">
        <f aca="false">IF(EXACT(D1130,E1130),"Tetap","Diubah")</f>
        <v>Diubah</v>
      </c>
      <c r="H1130" s="5" t="s">
        <v>167</v>
      </c>
    </row>
    <row r="1131" customFormat="false" ht="23.85" hidden="false" customHeight="false" outlineLevel="0" collapsed="false">
      <c r="A1131" s="5" t="n">
        <v>1130</v>
      </c>
      <c r="B1131" s="5" t="s">
        <v>308</v>
      </c>
      <c r="C1131" s="5" t="s">
        <v>156</v>
      </c>
      <c r="D1131" s="5" t="s">
        <v>2188</v>
      </c>
      <c r="E1131" s="5" t="s">
        <v>2189</v>
      </c>
      <c r="F1131" s="5"/>
      <c r="G1131" s="5" t="str">
        <f aca="false">IF(EXACT(D1131,E1131),"Tetap","Diubah")</f>
        <v>Diubah</v>
      </c>
      <c r="H1131" s="5" t="s">
        <v>167</v>
      </c>
    </row>
    <row r="1132" customFormat="false" ht="23.85" hidden="false" customHeight="false" outlineLevel="0" collapsed="false">
      <c r="A1132" s="5" t="n">
        <v>1131</v>
      </c>
      <c r="B1132" s="5" t="s">
        <v>308</v>
      </c>
      <c r="C1132" s="5" t="s">
        <v>485</v>
      </c>
      <c r="D1132" s="5" t="s">
        <v>2190</v>
      </c>
      <c r="E1132" s="5" t="s">
        <v>2191</v>
      </c>
      <c r="F1132" s="5"/>
      <c r="G1132" s="5" t="str">
        <f aca="false">IF(EXACT(D1132,E1132),"Tetap","Diubah")</f>
        <v>Diubah</v>
      </c>
      <c r="H1132" s="5" t="s">
        <v>167</v>
      </c>
    </row>
    <row r="1133" customFormat="false" ht="23.85" hidden="false" customHeight="false" outlineLevel="0" collapsed="false">
      <c r="A1133" s="5" t="n">
        <v>1132</v>
      </c>
      <c r="B1133" s="5" t="s">
        <v>308</v>
      </c>
      <c r="C1133" s="5" t="s">
        <v>20</v>
      </c>
      <c r="D1133" s="5" t="s">
        <v>2192</v>
      </c>
      <c r="E1133" s="5" t="s">
        <v>2193</v>
      </c>
      <c r="F1133" s="5"/>
      <c r="G1133" s="5" t="str">
        <f aca="false">IF(EXACT(D1133,E1133),"Tetap","Diubah")</f>
        <v>Diubah</v>
      </c>
      <c r="H1133" s="5" t="s">
        <v>167</v>
      </c>
    </row>
    <row r="1134" customFormat="false" ht="23.85" hidden="false" customHeight="false" outlineLevel="0" collapsed="false">
      <c r="A1134" s="5" t="n">
        <v>1133</v>
      </c>
      <c r="B1134" s="5" t="s">
        <v>308</v>
      </c>
      <c r="C1134" s="5" t="s">
        <v>20</v>
      </c>
      <c r="D1134" s="5" t="s">
        <v>2194</v>
      </c>
      <c r="E1134" s="5" t="s">
        <v>2195</v>
      </c>
      <c r="F1134" s="5"/>
      <c r="G1134" s="5" t="str">
        <f aca="false">IF(EXACT(D1134,E1134),"Tetap","Diubah")</f>
        <v>Diubah</v>
      </c>
      <c r="H1134" s="5" t="s">
        <v>167</v>
      </c>
    </row>
    <row r="1135" customFormat="false" ht="23.85" hidden="false" customHeight="false" outlineLevel="0" collapsed="false">
      <c r="A1135" s="5" t="n">
        <v>1134</v>
      </c>
      <c r="B1135" s="5" t="s">
        <v>308</v>
      </c>
      <c r="C1135" s="5" t="s">
        <v>175</v>
      </c>
      <c r="D1135" s="5" t="s">
        <v>2196</v>
      </c>
      <c r="E1135" s="5" t="s">
        <v>2197</v>
      </c>
      <c r="F1135" s="5"/>
      <c r="G1135" s="5" t="str">
        <f aca="false">IF(EXACT(D1135,E1135),"Tetap","Diubah")</f>
        <v>Diubah</v>
      </c>
      <c r="H1135" s="5" t="s">
        <v>167</v>
      </c>
    </row>
    <row r="1136" customFormat="false" ht="23.85" hidden="false" customHeight="false" outlineLevel="0" collapsed="false">
      <c r="A1136" s="5" t="n">
        <v>1135</v>
      </c>
      <c r="B1136" s="5" t="s">
        <v>308</v>
      </c>
      <c r="C1136" s="5" t="s">
        <v>156</v>
      </c>
      <c r="D1136" s="5" t="s">
        <v>2198</v>
      </c>
      <c r="E1136" s="5" t="s">
        <v>2199</v>
      </c>
      <c r="F1136" s="5"/>
      <c r="G1136" s="5" t="str">
        <f aca="false">IF(EXACT(D1136,E1136),"Tetap","Diubah")</f>
        <v>Diubah</v>
      </c>
      <c r="H1136" s="5" t="s">
        <v>167</v>
      </c>
    </row>
    <row r="1137" customFormat="false" ht="23.85" hidden="false" customHeight="false" outlineLevel="0" collapsed="false">
      <c r="A1137" s="5" t="n">
        <v>1136</v>
      </c>
      <c r="B1137" s="5" t="s">
        <v>308</v>
      </c>
      <c r="C1137" s="5" t="s">
        <v>153</v>
      </c>
      <c r="D1137" s="5" t="s">
        <v>2200</v>
      </c>
      <c r="E1137" s="5" t="s">
        <v>2201</v>
      </c>
      <c r="F1137" s="5"/>
      <c r="G1137" s="5" t="str">
        <f aca="false">IF(EXACT(D1137,E1137),"Tetap","Diubah")</f>
        <v>Diubah</v>
      </c>
      <c r="H1137" s="5" t="s">
        <v>167</v>
      </c>
    </row>
    <row r="1138" customFormat="false" ht="23.85" hidden="false" customHeight="false" outlineLevel="0" collapsed="false">
      <c r="A1138" s="5" t="n">
        <v>1137</v>
      </c>
      <c r="B1138" s="5" t="s">
        <v>308</v>
      </c>
      <c r="C1138" s="5" t="s">
        <v>163</v>
      </c>
      <c r="D1138" s="5" t="s">
        <v>2202</v>
      </c>
      <c r="E1138" s="5" t="s">
        <v>2203</v>
      </c>
      <c r="F1138" s="5"/>
      <c r="G1138" s="5" t="str">
        <f aca="false">IF(EXACT(D1138,E1138),"Tetap","Diubah")</f>
        <v>Diubah</v>
      </c>
      <c r="H1138" s="5" t="s">
        <v>167</v>
      </c>
    </row>
    <row r="1139" customFormat="false" ht="23.85" hidden="false" customHeight="false" outlineLevel="0" collapsed="false">
      <c r="A1139" s="5" t="n">
        <v>1138</v>
      </c>
      <c r="B1139" s="5" t="s">
        <v>308</v>
      </c>
      <c r="C1139" s="5" t="s">
        <v>163</v>
      </c>
      <c r="D1139" s="5" t="s">
        <v>2204</v>
      </c>
      <c r="E1139" s="5" t="s">
        <v>2205</v>
      </c>
      <c r="F1139" s="5" t="s">
        <v>2206</v>
      </c>
      <c r="G1139" s="5" t="str">
        <f aca="false">IF(EXACT(D1139,E1139),"Tetap","Diubah")</f>
        <v>Diubah</v>
      </c>
      <c r="H1139" s="5" t="s">
        <v>167</v>
      </c>
    </row>
    <row r="1140" customFormat="false" ht="23.85" hidden="false" customHeight="false" outlineLevel="0" collapsed="false">
      <c r="A1140" s="5" t="n">
        <v>1139</v>
      </c>
      <c r="B1140" s="5" t="s">
        <v>308</v>
      </c>
      <c r="C1140" s="5" t="s">
        <v>485</v>
      </c>
      <c r="D1140" s="5" t="s">
        <v>2207</v>
      </c>
      <c r="E1140" s="5" t="s">
        <v>2207</v>
      </c>
      <c r="F1140" s="5" t="s">
        <v>28</v>
      </c>
      <c r="G1140" s="5" t="str">
        <f aca="false">IF(EXACT(D1140,E1140),"Tetap","Diubah")</f>
        <v>Tetap</v>
      </c>
      <c r="H1140" s="5" t="s">
        <v>167</v>
      </c>
    </row>
    <row r="1141" customFormat="false" ht="23.85" hidden="false" customHeight="false" outlineLevel="0" collapsed="false">
      <c r="A1141" s="5" t="n">
        <v>1140</v>
      </c>
      <c r="B1141" s="5" t="s">
        <v>308</v>
      </c>
      <c r="C1141" s="5" t="s">
        <v>20</v>
      </c>
      <c r="D1141" s="5" t="s">
        <v>2208</v>
      </c>
      <c r="E1141" s="5" t="s">
        <v>2208</v>
      </c>
      <c r="F1141" s="5" t="s">
        <v>28</v>
      </c>
      <c r="G1141" s="5" t="str">
        <f aca="false">IF(EXACT(D1141,E1141),"Tetap","Diubah")</f>
        <v>Tetap</v>
      </c>
      <c r="H1141" s="5" t="s">
        <v>167</v>
      </c>
    </row>
    <row r="1142" customFormat="false" ht="23.85" hidden="false" customHeight="false" outlineLevel="0" collapsed="false">
      <c r="A1142" s="5" t="n">
        <v>1141</v>
      </c>
      <c r="B1142" s="5" t="s">
        <v>308</v>
      </c>
      <c r="C1142" s="5" t="s">
        <v>153</v>
      </c>
      <c r="D1142" s="5" t="s">
        <v>2209</v>
      </c>
      <c r="E1142" s="5" t="s">
        <v>2210</v>
      </c>
      <c r="F1142" s="5"/>
      <c r="G1142" s="5" t="str">
        <f aca="false">IF(EXACT(D1142,E1142),"Tetap","Diubah")</f>
        <v>Diubah</v>
      </c>
      <c r="H1142" s="5" t="s">
        <v>167</v>
      </c>
    </row>
    <row r="1143" customFormat="false" ht="23.85" hidden="false" customHeight="false" outlineLevel="0" collapsed="false">
      <c r="A1143" s="5" t="n">
        <v>1142</v>
      </c>
      <c r="B1143" s="5" t="s">
        <v>308</v>
      </c>
      <c r="C1143" s="5" t="s">
        <v>163</v>
      </c>
      <c r="D1143" s="5" t="s">
        <v>2211</v>
      </c>
      <c r="E1143" s="5" t="s">
        <v>2212</v>
      </c>
      <c r="F1143" s="5"/>
      <c r="G1143" s="5" t="str">
        <f aca="false">IF(EXACT(D1143,E1143),"Tetap","Diubah")</f>
        <v>Diubah</v>
      </c>
      <c r="H1143" s="5" t="s">
        <v>167</v>
      </c>
    </row>
    <row r="1144" customFormat="false" ht="23.85" hidden="false" customHeight="false" outlineLevel="0" collapsed="false">
      <c r="A1144" s="5" t="n">
        <v>1143</v>
      </c>
      <c r="B1144" s="5" t="s">
        <v>308</v>
      </c>
      <c r="C1144" s="5" t="s">
        <v>153</v>
      </c>
      <c r="D1144" s="5" t="s">
        <v>2213</v>
      </c>
      <c r="E1144" s="5" t="s">
        <v>2214</v>
      </c>
      <c r="F1144" s="5"/>
      <c r="G1144" s="5" t="str">
        <f aca="false">IF(EXACT(D1144,E1144),"Tetap","Diubah")</f>
        <v>Diubah</v>
      </c>
      <c r="H1144" s="5" t="s">
        <v>167</v>
      </c>
    </row>
    <row r="1145" customFormat="false" ht="23.85" hidden="false" customHeight="false" outlineLevel="0" collapsed="false">
      <c r="A1145" s="5" t="n">
        <v>1144</v>
      </c>
      <c r="B1145" s="5" t="s">
        <v>308</v>
      </c>
      <c r="C1145" s="5" t="s">
        <v>20</v>
      </c>
      <c r="D1145" s="5" t="s">
        <v>1079</v>
      </c>
      <c r="E1145" s="5" t="s">
        <v>1079</v>
      </c>
      <c r="F1145" s="5" t="s">
        <v>28</v>
      </c>
      <c r="G1145" s="5" t="str">
        <f aca="false">IF(EXACT(D1145,E1145),"Tetap","Diubah")</f>
        <v>Tetap</v>
      </c>
      <c r="H1145" s="5" t="s">
        <v>167</v>
      </c>
    </row>
    <row r="1146" customFormat="false" ht="23.85" hidden="false" customHeight="false" outlineLevel="0" collapsed="false">
      <c r="A1146" s="5" t="n">
        <v>1145</v>
      </c>
      <c r="B1146" s="5" t="s">
        <v>308</v>
      </c>
      <c r="C1146" s="5" t="s">
        <v>20</v>
      </c>
      <c r="D1146" s="5" t="s">
        <v>1712</v>
      </c>
      <c r="E1146" s="5" t="s">
        <v>1712</v>
      </c>
      <c r="F1146" s="5" t="s">
        <v>28</v>
      </c>
      <c r="G1146" s="5" t="str">
        <f aca="false">IF(EXACT(D1146,E1146),"Tetap","Diubah")</f>
        <v>Tetap</v>
      </c>
      <c r="H1146" s="5" t="s">
        <v>167</v>
      </c>
    </row>
    <row r="1147" customFormat="false" ht="23.85" hidden="false" customHeight="false" outlineLevel="0" collapsed="false">
      <c r="A1147" s="5" t="n">
        <v>1146</v>
      </c>
      <c r="B1147" s="5" t="s">
        <v>308</v>
      </c>
      <c r="C1147" s="5" t="s">
        <v>485</v>
      </c>
      <c r="D1147" s="5" t="s">
        <v>2215</v>
      </c>
      <c r="E1147" s="5" t="s">
        <v>2215</v>
      </c>
      <c r="F1147" s="5" t="s">
        <v>28</v>
      </c>
      <c r="G1147" s="5" t="str">
        <f aca="false">IF(EXACT(D1147,E1147),"Tetap","Diubah")</f>
        <v>Tetap</v>
      </c>
      <c r="H1147" s="5" t="s">
        <v>167</v>
      </c>
    </row>
    <row r="1148" customFormat="false" ht="23.85" hidden="false" customHeight="false" outlineLevel="0" collapsed="false">
      <c r="A1148" s="5" t="n">
        <v>1147</v>
      </c>
      <c r="B1148" s="5" t="s">
        <v>308</v>
      </c>
      <c r="C1148" s="5" t="s">
        <v>163</v>
      </c>
      <c r="D1148" s="5" t="s">
        <v>2216</v>
      </c>
      <c r="E1148" s="5" t="s">
        <v>1679</v>
      </c>
      <c r="F1148" s="5"/>
      <c r="G1148" s="5" t="str">
        <f aca="false">IF(EXACT(D1148,E1148),"Tetap","Diubah")</f>
        <v>Diubah</v>
      </c>
      <c r="H1148" s="5" t="s">
        <v>167</v>
      </c>
    </row>
    <row r="1149" customFormat="false" ht="15" hidden="false" customHeight="false" outlineLevel="0" collapsed="false">
      <c r="A1149" s="5" t="n">
        <v>1148</v>
      </c>
      <c r="B1149" s="5" t="s">
        <v>2217</v>
      </c>
      <c r="C1149" s="5" t="s">
        <v>45</v>
      </c>
      <c r="D1149" s="5" t="s">
        <v>2218</v>
      </c>
      <c r="E1149" s="5" t="s">
        <v>2219</v>
      </c>
      <c r="F1149" s="5"/>
      <c r="G1149" s="5" t="str">
        <f aca="false">IF(EXACT(D1149,E1149),"Tetap","Diubah")</f>
        <v>Diubah</v>
      </c>
      <c r="H1149" s="5" t="s">
        <v>23</v>
      </c>
    </row>
    <row r="1150" customFormat="false" ht="15" hidden="false" customHeight="false" outlineLevel="0" collapsed="false">
      <c r="A1150" s="5" t="n">
        <v>1149</v>
      </c>
      <c r="B1150" s="5" t="s">
        <v>2217</v>
      </c>
      <c r="C1150" s="5" t="s">
        <v>283</v>
      </c>
      <c r="D1150" s="5" t="s">
        <v>2220</v>
      </c>
      <c r="E1150" s="5" t="s">
        <v>2221</v>
      </c>
      <c r="F1150" s="5" t="s">
        <v>333</v>
      </c>
      <c r="G1150" s="5" t="str">
        <f aca="false">IF(EXACT(D1150,E1150),"Tetap","Diubah")</f>
        <v>Diubah</v>
      </c>
      <c r="H1150" s="5" t="s">
        <v>23</v>
      </c>
    </row>
    <row r="1151" customFormat="false" ht="15" hidden="false" customHeight="false" outlineLevel="0" collapsed="false">
      <c r="A1151" s="5" t="n">
        <v>1150</v>
      </c>
      <c r="B1151" s="5" t="s">
        <v>2217</v>
      </c>
      <c r="C1151" s="5" t="s">
        <v>159</v>
      </c>
      <c r="D1151" s="5" t="s">
        <v>2222</v>
      </c>
      <c r="E1151" s="5" t="s">
        <v>2223</v>
      </c>
      <c r="F1151" s="5"/>
      <c r="G1151" s="5" t="str">
        <f aca="false">IF(EXACT(D1151,E1151),"Tetap","Diubah")</f>
        <v>Diubah</v>
      </c>
      <c r="H1151" s="5" t="s">
        <v>23</v>
      </c>
    </row>
    <row r="1152" customFormat="false" ht="23.85" hidden="false" customHeight="false" outlineLevel="0" collapsed="false">
      <c r="A1152" s="5" t="n">
        <v>1151</v>
      </c>
      <c r="B1152" s="5" t="s">
        <v>2217</v>
      </c>
      <c r="C1152" s="5" t="s">
        <v>130</v>
      </c>
      <c r="D1152" s="5" t="s">
        <v>2224</v>
      </c>
      <c r="E1152" s="5" t="s">
        <v>2225</v>
      </c>
      <c r="F1152" s="5"/>
      <c r="G1152" s="5" t="str">
        <f aca="false">IF(EXACT(D1152,E1152),"Tetap","Diubah")</f>
        <v>Diubah</v>
      </c>
      <c r="H1152" s="5" t="s">
        <v>23</v>
      </c>
    </row>
    <row r="1153" customFormat="false" ht="15" hidden="false" customHeight="false" outlineLevel="0" collapsed="false">
      <c r="A1153" s="5" t="n">
        <v>1152</v>
      </c>
      <c r="B1153" s="5" t="s">
        <v>2217</v>
      </c>
      <c r="C1153" s="5" t="s">
        <v>283</v>
      </c>
      <c r="D1153" s="5" t="s">
        <v>2226</v>
      </c>
      <c r="E1153" s="5" t="s">
        <v>2227</v>
      </c>
      <c r="F1153" s="5"/>
      <c r="G1153" s="5" t="str">
        <f aca="false">IF(EXACT(D1153,E1153),"Tetap","Diubah")</f>
        <v>Diubah</v>
      </c>
      <c r="H1153" s="5" t="s">
        <v>23</v>
      </c>
    </row>
    <row r="1154" customFormat="false" ht="15" hidden="false" customHeight="false" outlineLevel="0" collapsed="false">
      <c r="A1154" s="5" t="n">
        <v>1153</v>
      </c>
      <c r="B1154" s="5" t="s">
        <v>2217</v>
      </c>
      <c r="C1154" s="5" t="s">
        <v>283</v>
      </c>
      <c r="D1154" s="5" t="s">
        <v>2228</v>
      </c>
      <c r="E1154" s="5" t="s">
        <v>2229</v>
      </c>
      <c r="F1154" s="5"/>
      <c r="G1154" s="5" t="str">
        <f aca="false">IF(EXACT(D1154,E1154),"Tetap","Diubah")</f>
        <v>Diubah</v>
      </c>
      <c r="H1154" s="5" t="s">
        <v>23</v>
      </c>
    </row>
    <row r="1155" customFormat="false" ht="15" hidden="false" customHeight="false" outlineLevel="0" collapsed="false">
      <c r="A1155" s="5" t="n">
        <v>1154</v>
      </c>
      <c r="B1155" s="5" t="s">
        <v>2217</v>
      </c>
      <c r="C1155" s="5" t="s">
        <v>221</v>
      </c>
      <c r="D1155" s="5" t="s">
        <v>2230</v>
      </c>
      <c r="E1155" s="5" t="s">
        <v>2231</v>
      </c>
      <c r="F1155" s="5"/>
      <c r="G1155" s="5" t="str">
        <f aca="false">IF(EXACT(D1155,E1155),"Tetap","Diubah")</f>
        <v>Diubah</v>
      </c>
      <c r="H1155" s="5" t="s">
        <v>23</v>
      </c>
    </row>
    <row r="1156" customFormat="false" ht="15" hidden="false" customHeight="false" outlineLevel="0" collapsed="false">
      <c r="A1156" s="5" t="n">
        <v>1155</v>
      </c>
      <c r="B1156" s="5" t="s">
        <v>2217</v>
      </c>
      <c r="C1156" s="5" t="s">
        <v>130</v>
      </c>
      <c r="D1156" s="5" t="s">
        <v>2232</v>
      </c>
      <c r="E1156" s="5" t="s">
        <v>2233</v>
      </c>
      <c r="F1156" s="5"/>
      <c r="G1156" s="5" t="str">
        <f aca="false">IF(EXACT(D1156,E1156),"Tetap","Diubah")</f>
        <v>Diubah</v>
      </c>
      <c r="H1156" s="5" t="s">
        <v>23</v>
      </c>
    </row>
    <row r="1157" customFormat="false" ht="15" hidden="false" customHeight="false" outlineLevel="0" collapsed="false">
      <c r="A1157" s="5" t="n">
        <v>1156</v>
      </c>
      <c r="B1157" s="5" t="s">
        <v>2217</v>
      </c>
      <c r="C1157" s="5" t="s">
        <v>54</v>
      </c>
      <c r="D1157" s="5" t="s">
        <v>385</v>
      </c>
      <c r="E1157" s="5" t="s">
        <v>385</v>
      </c>
      <c r="F1157" s="5" t="s">
        <v>28</v>
      </c>
      <c r="G1157" s="5" t="str">
        <f aca="false">IF(EXACT(D1157,E1157),"Tetap","Diubah")</f>
        <v>Tetap</v>
      </c>
      <c r="H1157" s="5" t="s">
        <v>23</v>
      </c>
    </row>
    <row r="1158" customFormat="false" ht="15" hidden="false" customHeight="false" outlineLevel="0" collapsed="false">
      <c r="A1158" s="5" t="n">
        <v>1157</v>
      </c>
      <c r="B1158" s="5" t="s">
        <v>2217</v>
      </c>
      <c r="C1158" s="5" t="s">
        <v>54</v>
      </c>
      <c r="D1158" s="5" t="s">
        <v>2234</v>
      </c>
      <c r="E1158" s="5" t="s">
        <v>2235</v>
      </c>
      <c r="F1158" s="5"/>
      <c r="G1158" s="5" t="str">
        <f aca="false">IF(EXACT(D1158,E1158),"Tetap","Diubah")</f>
        <v>Diubah</v>
      </c>
      <c r="H1158" s="5" t="s">
        <v>23</v>
      </c>
    </row>
    <row r="1159" customFormat="false" ht="15" hidden="false" customHeight="false" outlineLevel="0" collapsed="false">
      <c r="A1159" s="5" t="n">
        <v>1158</v>
      </c>
      <c r="B1159" s="5" t="s">
        <v>2217</v>
      </c>
      <c r="C1159" s="5" t="s">
        <v>100</v>
      </c>
      <c r="D1159" s="5" t="s">
        <v>1080</v>
      </c>
      <c r="E1159" s="5" t="s">
        <v>1080</v>
      </c>
      <c r="F1159" s="5" t="s">
        <v>28</v>
      </c>
      <c r="G1159" s="5" t="str">
        <f aca="false">IF(EXACT(D1159,E1159),"Tetap","Diubah")</f>
        <v>Tetap</v>
      </c>
      <c r="H1159" s="5" t="s">
        <v>23</v>
      </c>
    </row>
    <row r="1160" customFormat="false" ht="15" hidden="false" customHeight="false" outlineLevel="0" collapsed="false">
      <c r="A1160" s="5" t="n">
        <v>1159</v>
      </c>
      <c r="B1160" s="5" t="s">
        <v>2217</v>
      </c>
      <c r="C1160" s="5" t="s">
        <v>100</v>
      </c>
      <c r="D1160" s="5" t="s">
        <v>2236</v>
      </c>
      <c r="E1160" s="5" t="s">
        <v>2236</v>
      </c>
      <c r="F1160" s="5" t="s">
        <v>28</v>
      </c>
      <c r="G1160" s="5" t="str">
        <f aca="false">IF(EXACT(D1160,E1160),"Tetap","Diubah")</f>
        <v>Tetap</v>
      </c>
      <c r="H1160" s="5" t="s">
        <v>23</v>
      </c>
    </row>
    <row r="1161" customFormat="false" ht="15" hidden="false" customHeight="false" outlineLevel="0" collapsed="false">
      <c r="A1161" s="5" t="n">
        <v>1160</v>
      </c>
      <c r="B1161" s="5" t="s">
        <v>2217</v>
      </c>
      <c r="C1161" s="5" t="s">
        <v>90</v>
      </c>
      <c r="D1161" s="5" t="s">
        <v>2237</v>
      </c>
      <c r="E1161" s="5" t="s">
        <v>2237</v>
      </c>
      <c r="F1161" s="5" t="s">
        <v>28</v>
      </c>
      <c r="G1161" s="5" t="str">
        <f aca="false">IF(EXACT(D1161,E1161),"Tetap","Diubah")</f>
        <v>Tetap</v>
      </c>
      <c r="H1161" s="5" t="s">
        <v>23</v>
      </c>
    </row>
    <row r="1162" customFormat="false" ht="15" hidden="false" customHeight="false" outlineLevel="0" collapsed="false">
      <c r="A1162" s="5" t="n">
        <v>1161</v>
      </c>
      <c r="B1162" s="5" t="s">
        <v>2217</v>
      </c>
      <c r="C1162" s="5" t="s">
        <v>221</v>
      </c>
      <c r="D1162" s="5" t="s">
        <v>2238</v>
      </c>
      <c r="E1162" s="5" t="s">
        <v>2239</v>
      </c>
      <c r="F1162" s="5"/>
      <c r="G1162" s="5" t="str">
        <f aca="false">IF(EXACT(D1162,E1162),"Tetap","Diubah")</f>
        <v>Diubah</v>
      </c>
      <c r="H1162" s="5" t="s">
        <v>23</v>
      </c>
    </row>
    <row r="1163" customFormat="false" ht="15" hidden="false" customHeight="false" outlineLevel="0" collapsed="false">
      <c r="A1163" s="5" t="n">
        <v>1162</v>
      </c>
      <c r="B1163" s="5" t="s">
        <v>2217</v>
      </c>
      <c r="C1163" s="5" t="s">
        <v>130</v>
      </c>
      <c r="D1163" s="5" t="s">
        <v>2240</v>
      </c>
      <c r="E1163" s="5" t="s">
        <v>2241</v>
      </c>
      <c r="F1163" s="5"/>
      <c r="G1163" s="5" t="str">
        <f aca="false">IF(EXACT(D1163,E1163),"Tetap","Diubah")</f>
        <v>Diubah</v>
      </c>
      <c r="H1163" s="5" t="s">
        <v>23</v>
      </c>
    </row>
    <row r="1164" customFormat="false" ht="15" hidden="false" customHeight="false" outlineLevel="0" collapsed="false">
      <c r="A1164" s="5" t="n">
        <v>1163</v>
      </c>
      <c r="B1164" s="5" t="s">
        <v>2217</v>
      </c>
      <c r="C1164" s="5" t="s">
        <v>54</v>
      </c>
      <c r="D1164" s="5" t="s">
        <v>2242</v>
      </c>
      <c r="E1164" s="5" t="s">
        <v>245</v>
      </c>
      <c r="F1164" s="5" t="s">
        <v>28</v>
      </c>
      <c r="G1164" s="5" t="str">
        <f aca="false">IF(EXACT(D1164,E1164),"Tetap","Diubah")</f>
        <v>Diubah</v>
      </c>
      <c r="H1164" s="5" t="s">
        <v>23</v>
      </c>
    </row>
    <row r="1165" customFormat="false" ht="15" hidden="false" customHeight="false" outlineLevel="0" collapsed="false">
      <c r="A1165" s="5" t="n">
        <v>1164</v>
      </c>
      <c r="B1165" s="5" t="s">
        <v>2217</v>
      </c>
      <c r="C1165" s="5" t="s">
        <v>54</v>
      </c>
      <c r="D1165" s="5" t="s">
        <v>2243</v>
      </c>
      <c r="E1165" s="5" t="s">
        <v>2243</v>
      </c>
      <c r="F1165" s="5" t="s">
        <v>28</v>
      </c>
      <c r="G1165" s="5" t="str">
        <f aca="false">IF(EXACT(D1165,E1165),"Tetap","Diubah")</f>
        <v>Tetap</v>
      </c>
      <c r="H1165" s="5" t="s">
        <v>23</v>
      </c>
    </row>
    <row r="1166" customFormat="false" ht="15" hidden="false" customHeight="false" outlineLevel="0" collapsed="false">
      <c r="A1166" s="5" t="n">
        <v>1165</v>
      </c>
      <c r="B1166" s="5" t="s">
        <v>2217</v>
      </c>
      <c r="C1166" s="5" t="s">
        <v>54</v>
      </c>
      <c r="D1166" s="5" t="s">
        <v>2244</v>
      </c>
      <c r="E1166" s="5" t="s">
        <v>2244</v>
      </c>
      <c r="F1166" s="5" t="s">
        <v>28</v>
      </c>
      <c r="G1166" s="5" t="str">
        <f aca="false">IF(EXACT(D1166,E1166),"Tetap","Diubah")</f>
        <v>Tetap</v>
      </c>
      <c r="H1166" s="5" t="s">
        <v>23</v>
      </c>
    </row>
    <row r="1167" customFormat="false" ht="15" hidden="false" customHeight="false" outlineLevel="0" collapsed="false">
      <c r="A1167" s="5" t="n">
        <v>1166</v>
      </c>
      <c r="B1167" s="5" t="s">
        <v>2217</v>
      </c>
      <c r="C1167" s="5" t="s">
        <v>54</v>
      </c>
      <c r="D1167" s="5" t="s">
        <v>2245</v>
      </c>
      <c r="E1167" s="5" t="s">
        <v>2246</v>
      </c>
      <c r="F1167" s="5"/>
      <c r="G1167" s="5" t="str">
        <f aca="false">IF(EXACT(D1167,E1167),"Tetap","Diubah")</f>
        <v>Diubah</v>
      </c>
      <c r="H1167" s="5" t="s">
        <v>23</v>
      </c>
    </row>
    <row r="1168" customFormat="false" ht="15" hidden="false" customHeight="false" outlineLevel="0" collapsed="false">
      <c r="A1168" s="5" t="n">
        <v>1167</v>
      </c>
      <c r="B1168" s="5" t="s">
        <v>2217</v>
      </c>
      <c r="C1168" s="5" t="s">
        <v>20</v>
      </c>
      <c r="D1168" s="5" t="s">
        <v>2247</v>
      </c>
      <c r="E1168" s="5" t="s">
        <v>2248</v>
      </c>
      <c r="F1168" s="5"/>
      <c r="G1168" s="5" t="str">
        <f aca="false">IF(EXACT(D1168,E1168),"Tetap","Diubah")</f>
        <v>Diubah</v>
      </c>
      <c r="H1168" s="5" t="s">
        <v>23</v>
      </c>
    </row>
    <row r="1169" customFormat="false" ht="15" hidden="false" customHeight="false" outlineLevel="0" collapsed="false">
      <c r="A1169" s="5" t="n">
        <v>1168</v>
      </c>
      <c r="B1169" s="5" t="s">
        <v>2217</v>
      </c>
      <c r="C1169" s="5" t="s">
        <v>20</v>
      </c>
      <c r="D1169" s="5" t="s">
        <v>2249</v>
      </c>
      <c r="E1169" s="5" t="s">
        <v>2250</v>
      </c>
      <c r="F1169" s="5"/>
      <c r="G1169" s="5" t="str">
        <f aca="false">IF(EXACT(D1169,E1169),"Tetap","Diubah")</f>
        <v>Diubah</v>
      </c>
      <c r="H1169" s="5" t="s">
        <v>23</v>
      </c>
    </row>
    <row r="1170" customFormat="false" ht="15" hidden="false" customHeight="false" outlineLevel="0" collapsed="false">
      <c r="A1170" s="5" t="n">
        <v>1169</v>
      </c>
      <c r="B1170" s="5" t="s">
        <v>2217</v>
      </c>
      <c r="C1170" s="5" t="s">
        <v>252</v>
      </c>
      <c r="D1170" s="5" t="s">
        <v>2251</v>
      </c>
      <c r="E1170" s="5" t="s">
        <v>2252</v>
      </c>
      <c r="F1170" s="5"/>
      <c r="G1170" s="5" t="str">
        <f aca="false">IF(EXACT(D1170,E1170),"Tetap","Diubah")</f>
        <v>Diubah</v>
      </c>
      <c r="H1170" s="5" t="s">
        <v>23</v>
      </c>
    </row>
    <row r="1171" customFormat="false" ht="23.85" hidden="false" customHeight="false" outlineLevel="0" collapsed="false">
      <c r="A1171" s="5" t="n">
        <v>1170</v>
      </c>
      <c r="B1171" s="5" t="s">
        <v>2217</v>
      </c>
      <c r="C1171" s="5" t="s">
        <v>130</v>
      </c>
      <c r="D1171" s="5" t="s">
        <v>2253</v>
      </c>
      <c r="E1171" s="5" t="s">
        <v>2254</v>
      </c>
      <c r="F1171" s="5"/>
      <c r="G1171" s="5" t="str">
        <f aca="false">IF(EXACT(D1171,E1171),"Tetap","Diubah")</f>
        <v>Diubah</v>
      </c>
      <c r="H1171" s="5" t="s">
        <v>23</v>
      </c>
    </row>
    <row r="1172" customFormat="false" ht="15" hidden="false" customHeight="false" outlineLevel="0" collapsed="false">
      <c r="A1172" s="5" t="n">
        <v>1171</v>
      </c>
      <c r="B1172" s="5" t="s">
        <v>2217</v>
      </c>
      <c r="C1172" s="5" t="s">
        <v>20</v>
      </c>
      <c r="D1172" s="5" t="s">
        <v>2255</v>
      </c>
      <c r="E1172" s="5" t="s">
        <v>391</v>
      </c>
      <c r="F1172" s="5"/>
      <c r="G1172" s="5" t="str">
        <f aca="false">IF(EXACT(D1172,E1172),"Tetap","Diubah")</f>
        <v>Diubah</v>
      </c>
      <c r="H1172" s="5" t="s">
        <v>23</v>
      </c>
    </row>
    <row r="1173" customFormat="false" ht="15" hidden="false" customHeight="false" outlineLevel="0" collapsed="false">
      <c r="A1173" s="5" t="n">
        <v>1172</v>
      </c>
      <c r="B1173" s="5" t="s">
        <v>2217</v>
      </c>
      <c r="C1173" s="5" t="s">
        <v>283</v>
      </c>
      <c r="D1173" s="5" t="s">
        <v>2256</v>
      </c>
      <c r="E1173" s="5" t="s">
        <v>2257</v>
      </c>
      <c r="F1173" s="5"/>
      <c r="G1173" s="5" t="str">
        <f aca="false">IF(EXACT(D1173,E1173),"Tetap","Diubah")</f>
        <v>Diubah</v>
      </c>
      <c r="H1173" s="5" t="s">
        <v>23</v>
      </c>
    </row>
    <row r="1174" customFormat="false" ht="15" hidden="false" customHeight="false" outlineLevel="0" collapsed="false">
      <c r="A1174" s="5" t="n">
        <v>1173</v>
      </c>
      <c r="B1174" s="5" t="s">
        <v>2217</v>
      </c>
      <c r="C1174" s="5" t="s">
        <v>1127</v>
      </c>
      <c r="D1174" s="5" t="s">
        <v>2258</v>
      </c>
      <c r="E1174" s="5" t="s">
        <v>2259</v>
      </c>
      <c r="F1174" s="5" t="s">
        <v>2260</v>
      </c>
      <c r="G1174" s="5" t="str">
        <f aca="false">IF(EXACT(D1174,E1174),"Tetap","Diubah")</f>
        <v>Diubah</v>
      </c>
      <c r="H1174" s="5" t="s">
        <v>23</v>
      </c>
    </row>
    <row r="1175" customFormat="false" ht="15" hidden="false" customHeight="false" outlineLevel="0" collapsed="false">
      <c r="A1175" s="5" t="n">
        <v>1174</v>
      </c>
      <c r="B1175" s="5" t="s">
        <v>2217</v>
      </c>
      <c r="C1175" s="5" t="s">
        <v>45</v>
      </c>
      <c r="D1175" s="5" t="s">
        <v>2261</v>
      </c>
      <c r="E1175" s="5" t="s">
        <v>2262</v>
      </c>
      <c r="F1175" s="5"/>
      <c r="G1175" s="5" t="str">
        <f aca="false">IF(EXACT(D1175,E1175),"Tetap","Diubah")</f>
        <v>Diubah</v>
      </c>
      <c r="H1175" s="5" t="s">
        <v>23</v>
      </c>
    </row>
    <row r="1176" customFormat="false" ht="15" hidden="false" customHeight="false" outlineLevel="0" collapsed="false">
      <c r="A1176" s="5" t="n">
        <v>1175</v>
      </c>
      <c r="B1176" s="5" t="s">
        <v>2217</v>
      </c>
      <c r="C1176" s="5" t="s">
        <v>283</v>
      </c>
      <c r="D1176" s="5" t="s">
        <v>2263</v>
      </c>
      <c r="E1176" s="5" t="s">
        <v>2264</v>
      </c>
      <c r="F1176" s="5"/>
      <c r="G1176" s="5" t="str">
        <f aca="false">IF(EXACT(D1176,E1176),"Tetap","Diubah")</f>
        <v>Diubah</v>
      </c>
      <c r="H1176" s="5" t="s">
        <v>23</v>
      </c>
    </row>
    <row r="1177" customFormat="false" ht="15" hidden="false" customHeight="false" outlineLevel="0" collapsed="false">
      <c r="A1177" s="5" t="n">
        <v>1176</v>
      </c>
      <c r="B1177" s="5" t="s">
        <v>2217</v>
      </c>
      <c r="C1177" s="5" t="s">
        <v>112</v>
      </c>
      <c r="D1177" s="5" t="s">
        <v>1131</v>
      </c>
      <c r="E1177" s="5" t="s">
        <v>2264</v>
      </c>
      <c r="F1177" s="5"/>
      <c r="G1177" s="5" t="str">
        <f aca="false">IF(EXACT(D1177,E1177),"Tetap","Diubah")</f>
        <v>Diubah</v>
      </c>
      <c r="H1177" s="5" t="s">
        <v>23</v>
      </c>
    </row>
    <row r="1178" customFormat="false" ht="15" hidden="false" customHeight="false" outlineLevel="0" collapsed="false">
      <c r="A1178" s="5" t="n">
        <v>1177</v>
      </c>
      <c r="B1178" s="5" t="s">
        <v>2217</v>
      </c>
      <c r="C1178" s="5" t="s">
        <v>130</v>
      </c>
      <c r="D1178" s="5" t="s">
        <v>2265</v>
      </c>
      <c r="E1178" s="5" t="s">
        <v>2266</v>
      </c>
      <c r="F1178" s="5"/>
      <c r="G1178" s="5" t="str">
        <f aca="false">IF(EXACT(D1178,E1178),"Tetap","Diubah")</f>
        <v>Diubah</v>
      </c>
      <c r="H1178" s="5" t="s">
        <v>23</v>
      </c>
    </row>
    <row r="1179" customFormat="false" ht="15" hidden="false" customHeight="false" outlineLevel="0" collapsed="false">
      <c r="A1179" s="5" t="n">
        <v>1178</v>
      </c>
      <c r="B1179" s="5" t="s">
        <v>2217</v>
      </c>
      <c r="C1179" s="5" t="s">
        <v>283</v>
      </c>
      <c r="D1179" s="5" t="s">
        <v>2267</v>
      </c>
      <c r="E1179" s="5" t="s">
        <v>2268</v>
      </c>
      <c r="F1179" s="5"/>
      <c r="G1179" s="5" t="str">
        <f aca="false">IF(EXACT(D1179,E1179),"Tetap","Diubah")</f>
        <v>Diubah</v>
      </c>
      <c r="H1179" s="5" t="s">
        <v>23</v>
      </c>
    </row>
    <row r="1180" customFormat="false" ht="15" hidden="false" customHeight="false" outlineLevel="0" collapsed="false">
      <c r="A1180" s="5" t="n">
        <v>1179</v>
      </c>
      <c r="B1180" s="5" t="s">
        <v>2217</v>
      </c>
      <c r="C1180" s="5" t="s">
        <v>330</v>
      </c>
      <c r="D1180" s="5" t="s">
        <v>2269</v>
      </c>
      <c r="E1180" s="5" t="s">
        <v>2270</v>
      </c>
      <c r="F1180" s="5"/>
      <c r="G1180" s="5" t="str">
        <f aca="false">IF(EXACT(D1180,E1180),"Tetap","Diubah")</f>
        <v>Diubah</v>
      </c>
      <c r="H1180" s="5" t="s">
        <v>23</v>
      </c>
    </row>
    <row r="1181" customFormat="false" ht="15" hidden="false" customHeight="false" outlineLevel="0" collapsed="false">
      <c r="A1181" s="5" t="n">
        <v>1180</v>
      </c>
      <c r="B1181" s="5" t="s">
        <v>2217</v>
      </c>
      <c r="C1181" s="5" t="s">
        <v>283</v>
      </c>
      <c r="D1181" s="5" t="s">
        <v>2271</v>
      </c>
      <c r="E1181" s="5" t="s">
        <v>2272</v>
      </c>
      <c r="F1181" s="5"/>
      <c r="G1181" s="5" t="str">
        <f aca="false">IF(EXACT(D1181,E1181),"Tetap","Diubah")</f>
        <v>Diubah</v>
      </c>
      <c r="H1181" s="5" t="s">
        <v>23</v>
      </c>
    </row>
    <row r="1182" customFormat="false" ht="15" hidden="false" customHeight="false" outlineLevel="0" collapsed="false">
      <c r="A1182" s="5" t="n">
        <v>1181</v>
      </c>
      <c r="B1182" s="5" t="s">
        <v>2217</v>
      </c>
      <c r="C1182" s="5" t="s">
        <v>330</v>
      </c>
      <c r="D1182" s="5" t="s">
        <v>2273</v>
      </c>
      <c r="E1182" s="5" t="s">
        <v>2274</v>
      </c>
      <c r="F1182" s="5"/>
      <c r="G1182" s="5" t="str">
        <f aca="false">IF(EXACT(D1182,E1182),"Tetap","Diubah")</f>
        <v>Diubah</v>
      </c>
      <c r="H1182" s="5" t="s">
        <v>23</v>
      </c>
    </row>
    <row r="1183" customFormat="false" ht="15" hidden="false" customHeight="false" outlineLevel="0" collapsed="false">
      <c r="A1183" s="5" t="n">
        <v>1182</v>
      </c>
      <c r="B1183" s="5" t="s">
        <v>2217</v>
      </c>
      <c r="C1183" s="5" t="s">
        <v>283</v>
      </c>
      <c r="D1183" s="5" t="s">
        <v>2275</v>
      </c>
      <c r="E1183" s="5" t="s">
        <v>2276</v>
      </c>
      <c r="F1183" s="5"/>
      <c r="G1183" s="5" t="str">
        <f aca="false">IF(EXACT(D1183,E1183),"Tetap","Diubah")</f>
        <v>Diubah</v>
      </c>
      <c r="H1183" s="5" t="s">
        <v>23</v>
      </c>
    </row>
    <row r="1184" customFormat="false" ht="15" hidden="false" customHeight="false" outlineLevel="0" collapsed="false">
      <c r="A1184" s="5" t="n">
        <v>1183</v>
      </c>
      <c r="B1184" s="5" t="s">
        <v>2217</v>
      </c>
      <c r="C1184" s="5" t="s">
        <v>45</v>
      </c>
      <c r="D1184" s="5" t="s">
        <v>2277</v>
      </c>
      <c r="E1184" s="5" t="s">
        <v>2278</v>
      </c>
      <c r="F1184" s="5" t="s">
        <v>2279</v>
      </c>
      <c r="G1184" s="5" t="str">
        <f aca="false">IF(EXACT(D1184,E1184),"Tetap","Diubah")</f>
        <v>Diubah</v>
      </c>
      <c r="H1184" s="5" t="s">
        <v>23</v>
      </c>
    </row>
    <row r="1185" customFormat="false" ht="15" hidden="false" customHeight="false" outlineLevel="0" collapsed="false">
      <c r="A1185" s="5" t="n">
        <v>1184</v>
      </c>
      <c r="B1185" s="5" t="s">
        <v>2217</v>
      </c>
      <c r="C1185" s="5" t="s">
        <v>283</v>
      </c>
      <c r="D1185" s="5" t="s">
        <v>2280</v>
      </c>
      <c r="E1185" s="5" t="s">
        <v>2281</v>
      </c>
      <c r="F1185" s="5"/>
      <c r="G1185" s="5" t="str">
        <f aca="false">IF(EXACT(D1185,E1185),"Tetap","Diubah")</f>
        <v>Diubah</v>
      </c>
      <c r="H1185" s="5" t="s">
        <v>23</v>
      </c>
    </row>
    <row r="1186" customFormat="false" ht="15" hidden="false" customHeight="false" outlineLevel="0" collapsed="false">
      <c r="A1186" s="5" t="n">
        <v>1185</v>
      </c>
      <c r="B1186" s="5" t="s">
        <v>2217</v>
      </c>
      <c r="C1186" s="5" t="s">
        <v>45</v>
      </c>
      <c r="D1186" s="5" t="s">
        <v>2282</v>
      </c>
      <c r="E1186" s="5" t="s">
        <v>2282</v>
      </c>
      <c r="F1186" s="5" t="s">
        <v>28</v>
      </c>
      <c r="G1186" s="5" t="str">
        <f aca="false">IF(EXACT(D1186,E1186),"Tetap","Diubah")</f>
        <v>Tetap</v>
      </c>
      <c r="H1186" s="5" t="s">
        <v>23</v>
      </c>
    </row>
    <row r="1187" customFormat="false" ht="15" hidden="false" customHeight="false" outlineLevel="0" collapsed="false">
      <c r="A1187" s="5" t="n">
        <v>1186</v>
      </c>
      <c r="B1187" s="5" t="s">
        <v>2217</v>
      </c>
      <c r="C1187" s="5" t="s">
        <v>283</v>
      </c>
      <c r="D1187" s="5" t="s">
        <v>2283</v>
      </c>
      <c r="E1187" s="5" t="s">
        <v>1748</v>
      </c>
      <c r="F1187" s="5"/>
      <c r="G1187" s="5" t="str">
        <f aca="false">IF(EXACT(D1187,E1187),"Tetap","Diubah")</f>
        <v>Diubah</v>
      </c>
      <c r="H1187" s="5" t="s">
        <v>23</v>
      </c>
    </row>
    <row r="1188" customFormat="false" ht="15" hidden="false" customHeight="false" outlineLevel="0" collapsed="false">
      <c r="A1188" s="5" t="n">
        <v>1187</v>
      </c>
      <c r="B1188" s="5" t="s">
        <v>2217</v>
      </c>
      <c r="C1188" s="5" t="s">
        <v>45</v>
      </c>
      <c r="D1188" s="5" t="s">
        <v>2284</v>
      </c>
      <c r="E1188" s="5" t="s">
        <v>2285</v>
      </c>
      <c r="F1188" s="5"/>
      <c r="G1188" s="5" t="str">
        <f aca="false">IF(EXACT(D1188,E1188),"Tetap","Diubah")</f>
        <v>Diubah</v>
      </c>
      <c r="H1188" s="5" t="s">
        <v>23</v>
      </c>
    </row>
    <row r="1189" customFormat="false" ht="15" hidden="false" customHeight="false" outlineLevel="0" collapsed="false">
      <c r="A1189" s="5" t="n">
        <v>1188</v>
      </c>
      <c r="B1189" s="5" t="s">
        <v>2217</v>
      </c>
      <c r="C1189" s="5" t="s">
        <v>283</v>
      </c>
      <c r="D1189" s="5" t="s">
        <v>2286</v>
      </c>
      <c r="E1189" s="5" t="s">
        <v>2287</v>
      </c>
      <c r="F1189" s="5"/>
      <c r="G1189" s="5" t="str">
        <f aca="false">IF(EXACT(D1189,E1189),"Tetap","Diubah")</f>
        <v>Diubah</v>
      </c>
      <c r="H1189" s="5" t="s">
        <v>23</v>
      </c>
    </row>
    <row r="1190" customFormat="false" ht="15" hidden="false" customHeight="false" outlineLevel="0" collapsed="false">
      <c r="A1190" s="5" t="n">
        <v>1189</v>
      </c>
      <c r="B1190" s="5" t="s">
        <v>2217</v>
      </c>
      <c r="C1190" s="5" t="s">
        <v>45</v>
      </c>
      <c r="D1190" s="5" t="s">
        <v>2288</v>
      </c>
      <c r="E1190" s="5" t="s">
        <v>2285</v>
      </c>
      <c r="F1190" s="5"/>
      <c r="G1190" s="5" t="str">
        <f aca="false">IF(EXACT(D1190,E1190),"Tetap","Diubah")</f>
        <v>Diubah</v>
      </c>
      <c r="H1190" s="5" t="s">
        <v>23</v>
      </c>
    </row>
    <row r="1191" customFormat="false" ht="15" hidden="false" customHeight="false" outlineLevel="0" collapsed="false">
      <c r="A1191" s="5" t="n">
        <v>1190</v>
      </c>
      <c r="B1191" s="5" t="s">
        <v>2217</v>
      </c>
      <c r="C1191" s="5" t="s">
        <v>283</v>
      </c>
      <c r="D1191" s="5" t="s">
        <v>2289</v>
      </c>
      <c r="E1191" s="5" t="s">
        <v>2290</v>
      </c>
      <c r="F1191" s="5"/>
      <c r="G1191" s="5" t="str">
        <f aca="false">IF(EXACT(D1191,E1191),"Tetap","Diubah")</f>
        <v>Diubah</v>
      </c>
      <c r="H1191" s="5" t="s">
        <v>23</v>
      </c>
    </row>
    <row r="1192" customFormat="false" ht="15" hidden="false" customHeight="false" outlineLevel="0" collapsed="false">
      <c r="A1192" s="5" t="n">
        <v>1191</v>
      </c>
      <c r="B1192" s="5" t="s">
        <v>2217</v>
      </c>
      <c r="C1192" s="5" t="s">
        <v>330</v>
      </c>
      <c r="D1192" s="5" t="s">
        <v>2291</v>
      </c>
      <c r="E1192" s="5" t="s">
        <v>2292</v>
      </c>
      <c r="F1192" s="5"/>
      <c r="G1192" s="5" t="str">
        <f aca="false">IF(EXACT(D1192,E1192),"Tetap","Diubah")</f>
        <v>Diubah</v>
      </c>
      <c r="H1192" s="5" t="s">
        <v>23</v>
      </c>
    </row>
    <row r="1193" customFormat="false" ht="15" hidden="false" customHeight="false" outlineLevel="0" collapsed="false">
      <c r="A1193" s="5" t="n">
        <v>1192</v>
      </c>
      <c r="B1193" s="5" t="s">
        <v>2217</v>
      </c>
      <c r="C1193" s="5" t="s">
        <v>20</v>
      </c>
      <c r="D1193" s="5" t="s">
        <v>2293</v>
      </c>
      <c r="E1193" s="5" t="s">
        <v>2294</v>
      </c>
      <c r="F1193" s="5"/>
      <c r="G1193" s="5" t="str">
        <f aca="false">IF(EXACT(D1193,E1193),"Tetap","Diubah")</f>
        <v>Diubah</v>
      </c>
      <c r="H1193" s="5" t="s">
        <v>23</v>
      </c>
    </row>
    <row r="1194" customFormat="false" ht="15" hidden="false" customHeight="false" outlineLevel="0" collapsed="false">
      <c r="A1194" s="5" t="n">
        <v>1193</v>
      </c>
      <c r="B1194" s="5" t="s">
        <v>2217</v>
      </c>
      <c r="C1194" s="5" t="s">
        <v>283</v>
      </c>
      <c r="D1194" s="5" t="s">
        <v>2295</v>
      </c>
      <c r="E1194" s="5" t="s">
        <v>2296</v>
      </c>
      <c r="F1194" s="5"/>
      <c r="G1194" s="5" t="str">
        <f aca="false">IF(EXACT(D1194,E1194),"Tetap","Diubah")</f>
        <v>Diubah</v>
      </c>
      <c r="H1194" s="5" t="s">
        <v>23</v>
      </c>
    </row>
    <row r="1195" customFormat="false" ht="15" hidden="false" customHeight="false" outlineLevel="0" collapsed="false">
      <c r="A1195" s="5" t="n">
        <v>1194</v>
      </c>
      <c r="B1195" s="5" t="s">
        <v>2217</v>
      </c>
      <c r="C1195" s="5" t="s">
        <v>330</v>
      </c>
      <c r="D1195" s="5" t="s">
        <v>2297</v>
      </c>
      <c r="E1195" s="5" t="s">
        <v>2298</v>
      </c>
      <c r="F1195" s="5"/>
      <c r="G1195" s="5" t="str">
        <f aca="false">IF(EXACT(D1195,E1195),"Tetap","Diubah")</f>
        <v>Diubah</v>
      </c>
      <c r="H1195" s="5" t="s">
        <v>23</v>
      </c>
    </row>
    <row r="1196" customFormat="false" ht="15" hidden="false" customHeight="false" outlineLevel="0" collapsed="false">
      <c r="A1196" s="5" t="n">
        <v>1195</v>
      </c>
      <c r="B1196" s="5" t="s">
        <v>2217</v>
      </c>
      <c r="C1196" s="5" t="s">
        <v>112</v>
      </c>
      <c r="D1196" s="5" t="s">
        <v>2293</v>
      </c>
      <c r="E1196" s="5" t="s">
        <v>2290</v>
      </c>
      <c r="F1196" s="5"/>
      <c r="G1196" s="5" t="str">
        <f aca="false">IF(EXACT(D1196,E1196),"Tetap","Diubah")</f>
        <v>Diubah</v>
      </c>
      <c r="H1196" s="5" t="s">
        <v>23</v>
      </c>
    </row>
    <row r="1197" customFormat="false" ht="15" hidden="false" customHeight="false" outlineLevel="0" collapsed="false">
      <c r="A1197" s="5" t="n">
        <v>1196</v>
      </c>
      <c r="B1197" s="5" t="s">
        <v>2217</v>
      </c>
      <c r="C1197" s="5" t="s">
        <v>112</v>
      </c>
      <c r="D1197" s="5" t="s">
        <v>2299</v>
      </c>
      <c r="E1197" s="5" t="s">
        <v>2300</v>
      </c>
      <c r="F1197" s="5" t="s">
        <v>2301</v>
      </c>
      <c r="G1197" s="5" t="str">
        <f aca="false">IF(EXACT(D1197,E1197),"Tetap","Diubah")</f>
        <v>Diubah</v>
      </c>
      <c r="H1197" s="5" t="s">
        <v>23</v>
      </c>
    </row>
    <row r="1198" customFormat="false" ht="15" hidden="false" customHeight="false" outlineLevel="0" collapsed="false">
      <c r="A1198" s="5" t="n">
        <v>1197</v>
      </c>
      <c r="B1198" s="5" t="s">
        <v>2217</v>
      </c>
      <c r="C1198" s="5" t="s">
        <v>112</v>
      </c>
      <c r="D1198" s="5" t="s">
        <v>1136</v>
      </c>
      <c r="E1198" s="5" t="s">
        <v>1136</v>
      </c>
      <c r="F1198" s="5" t="s">
        <v>2301</v>
      </c>
      <c r="G1198" s="5" t="str">
        <f aca="false">IF(EXACT(D1198,E1198),"Tetap","Diubah")</f>
        <v>Tetap</v>
      </c>
      <c r="H1198" s="5" t="s">
        <v>23</v>
      </c>
    </row>
    <row r="1199" customFormat="false" ht="15" hidden="false" customHeight="false" outlineLevel="0" collapsed="false">
      <c r="A1199" s="5" t="n">
        <v>1198</v>
      </c>
      <c r="B1199" s="5" t="s">
        <v>2217</v>
      </c>
      <c r="C1199" s="5" t="s">
        <v>112</v>
      </c>
      <c r="D1199" s="5" t="s">
        <v>2302</v>
      </c>
      <c r="E1199" s="5" t="s">
        <v>2302</v>
      </c>
      <c r="F1199" s="5" t="s">
        <v>2301</v>
      </c>
      <c r="G1199" s="5" t="str">
        <f aca="false">IF(EXACT(D1199,E1199),"Tetap","Diubah")</f>
        <v>Tetap</v>
      </c>
      <c r="H1199" s="5" t="s">
        <v>23</v>
      </c>
    </row>
    <row r="1200" customFormat="false" ht="15" hidden="false" customHeight="false" outlineLevel="0" collapsed="false">
      <c r="A1200" s="5" t="n">
        <v>1199</v>
      </c>
      <c r="B1200" s="5" t="s">
        <v>2217</v>
      </c>
      <c r="C1200" s="5" t="s">
        <v>112</v>
      </c>
      <c r="D1200" s="5" t="s">
        <v>118</v>
      </c>
      <c r="E1200" s="5" t="s">
        <v>400</v>
      </c>
      <c r="F1200" s="5" t="s">
        <v>2303</v>
      </c>
      <c r="G1200" s="5" t="str">
        <f aca="false">IF(EXACT(D1200,E1200),"Tetap","Diubah")</f>
        <v>Diubah</v>
      </c>
      <c r="H1200" s="5" t="s">
        <v>23</v>
      </c>
    </row>
    <row r="1201" customFormat="false" ht="15" hidden="false" customHeight="false" outlineLevel="0" collapsed="false">
      <c r="A1201" s="5" t="n">
        <v>1200</v>
      </c>
      <c r="B1201" s="5" t="s">
        <v>2217</v>
      </c>
      <c r="C1201" s="5" t="s">
        <v>112</v>
      </c>
      <c r="D1201" s="5" t="s">
        <v>449</v>
      </c>
      <c r="E1201" s="5" t="s">
        <v>2304</v>
      </c>
      <c r="F1201" s="5" t="s">
        <v>2305</v>
      </c>
      <c r="G1201" s="5" t="str">
        <f aca="false">IF(EXACT(D1201,E1201),"Tetap","Diubah")</f>
        <v>Diubah</v>
      </c>
      <c r="H1201" s="5" t="s">
        <v>23</v>
      </c>
    </row>
    <row r="1202" customFormat="false" ht="15" hidden="false" customHeight="false" outlineLevel="0" collapsed="false">
      <c r="A1202" s="5" t="n">
        <v>1201</v>
      </c>
      <c r="B1202" s="5" t="s">
        <v>2217</v>
      </c>
      <c r="C1202" s="5" t="s">
        <v>112</v>
      </c>
      <c r="D1202" s="5" t="s">
        <v>2306</v>
      </c>
      <c r="E1202" s="5" t="s">
        <v>2307</v>
      </c>
      <c r="F1202" s="5" t="s">
        <v>2305</v>
      </c>
      <c r="G1202" s="5" t="str">
        <f aca="false">IF(EXACT(D1202,E1202),"Tetap","Diubah")</f>
        <v>Diubah</v>
      </c>
      <c r="H1202" s="5" t="s">
        <v>23</v>
      </c>
    </row>
    <row r="1203" customFormat="false" ht="15" hidden="false" customHeight="false" outlineLevel="0" collapsed="false">
      <c r="A1203" s="5" t="n">
        <v>1202</v>
      </c>
      <c r="B1203" s="5" t="s">
        <v>2217</v>
      </c>
      <c r="C1203" s="5" t="s">
        <v>112</v>
      </c>
      <c r="D1203" s="5" t="s">
        <v>2308</v>
      </c>
      <c r="E1203" s="5" t="s">
        <v>2309</v>
      </c>
      <c r="F1203" s="5"/>
      <c r="G1203" s="5" t="str">
        <f aca="false">IF(EXACT(D1203,E1203),"Tetap","Diubah")</f>
        <v>Diubah</v>
      </c>
      <c r="H1203" s="5" t="s">
        <v>23</v>
      </c>
    </row>
    <row r="1204" customFormat="false" ht="15" hidden="false" customHeight="false" outlineLevel="0" collapsed="false">
      <c r="A1204" s="5" t="n">
        <v>1203</v>
      </c>
      <c r="B1204" s="5" t="s">
        <v>2217</v>
      </c>
      <c r="C1204" s="5" t="s">
        <v>112</v>
      </c>
      <c r="D1204" s="5" t="s">
        <v>2310</v>
      </c>
      <c r="E1204" s="5" t="s">
        <v>2311</v>
      </c>
      <c r="F1204" s="5"/>
      <c r="G1204" s="5" t="str">
        <f aca="false">IF(EXACT(D1204,E1204),"Tetap","Diubah")</f>
        <v>Diubah</v>
      </c>
      <c r="H1204" s="5" t="s">
        <v>23</v>
      </c>
    </row>
    <row r="1205" customFormat="false" ht="23.85" hidden="false" customHeight="false" outlineLevel="0" collapsed="false">
      <c r="A1205" s="5" t="n">
        <v>1204</v>
      </c>
      <c r="B1205" s="5" t="s">
        <v>2217</v>
      </c>
      <c r="C1205" s="5" t="s">
        <v>112</v>
      </c>
      <c r="D1205" s="5" t="s">
        <v>2312</v>
      </c>
      <c r="E1205" s="5" t="s">
        <v>2313</v>
      </c>
      <c r="F1205" s="5" t="s">
        <v>2314</v>
      </c>
      <c r="G1205" s="5" t="str">
        <f aca="false">IF(EXACT(D1205,E1205),"Tetap","Diubah")</f>
        <v>Diubah</v>
      </c>
      <c r="H1205" s="5" t="s">
        <v>23</v>
      </c>
    </row>
    <row r="1206" customFormat="false" ht="15" hidden="false" customHeight="false" outlineLevel="0" collapsed="false">
      <c r="A1206" s="5" t="n">
        <v>1205</v>
      </c>
      <c r="B1206" s="5" t="s">
        <v>2217</v>
      </c>
      <c r="C1206" s="5" t="s">
        <v>130</v>
      </c>
      <c r="D1206" s="5" t="s">
        <v>2315</v>
      </c>
      <c r="E1206" s="5" t="s">
        <v>2316</v>
      </c>
      <c r="F1206" s="5"/>
      <c r="G1206" s="5" t="str">
        <f aca="false">IF(EXACT(D1206,E1206),"Tetap","Diubah")</f>
        <v>Diubah</v>
      </c>
      <c r="H1206" s="5" t="s">
        <v>23</v>
      </c>
    </row>
    <row r="1207" customFormat="false" ht="15" hidden="false" customHeight="false" outlineLevel="0" collapsed="false">
      <c r="A1207" s="5" t="n">
        <v>1206</v>
      </c>
      <c r="B1207" s="5" t="s">
        <v>2217</v>
      </c>
      <c r="C1207" s="5" t="s">
        <v>330</v>
      </c>
      <c r="D1207" s="5" t="s">
        <v>2317</v>
      </c>
      <c r="E1207" s="5" t="s">
        <v>2318</v>
      </c>
      <c r="F1207" s="5"/>
      <c r="G1207" s="5" t="str">
        <f aca="false">IF(EXACT(D1207,E1207),"Tetap","Diubah")</f>
        <v>Diubah</v>
      </c>
      <c r="H1207" s="5" t="s">
        <v>23</v>
      </c>
    </row>
    <row r="1208" customFormat="false" ht="15" hidden="false" customHeight="false" outlineLevel="0" collapsed="false">
      <c r="A1208" s="5" t="n">
        <v>1207</v>
      </c>
      <c r="B1208" s="5" t="s">
        <v>2217</v>
      </c>
      <c r="C1208" s="5" t="s">
        <v>330</v>
      </c>
      <c r="D1208" s="5" t="s">
        <v>2319</v>
      </c>
      <c r="E1208" s="5" t="s">
        <v>2318</v>
      </c>
      <c r="F1208" s="5" t="s">
        <v>2320</v>
      </c>
      <c r="G1208" s="5" t="str">
        <f aca="false">IF(EXACT(D1208,E1208),"Tetap","Diubah")</f>
        <v>Diubah</v>
      </c>
      <c r="H1208" s="5" t="s">
        <v>23</v>
      </c>
    </row>
    <row r="1209" customFormat="false" ht="15" hidden="false" customHeight="false" outlineLevel="0" collapsed="false">
      <c r="A1209" s="5" t="n">
        <v>1208</v>
      </c>
      <c r="B1209" s="5" t="s">
        <v>2217</v>
      </c>
      <c r="C1209" s="5" t="s">
        <v>45</v>
      </c>
      <c r="D1209" s="5" t="s">
        <v>2321</v>
      </c>
      <c r="E1209" s="5" t="s">
        <v>47</v>
      </c>
      <c r="F1209" s="5"/>
      <c r="G1209" s="5" t="str">
        <f aca="false">IF(EXACT(D1209,E1209),"Tetap","Diubah")</f>
        <v>Diubah</v>
      </c>
      <c r="H1209" s="5" t="s">
        <v>23</v>
      </c>
    </row>
    <row r="1210" customFormat="false" ht="15" hidden="false" customHeight="false" outlineLevel="0" collapsed="false">
      <c r="A1210" s="5" t="n">
        <v>1209</v>
      </c>
      <c r="B1210" s="5" t="s">
        <v>2217</v>
      </c>
      <c r="C1210" s="5" t="s">
        <v>71</v>
      </c>
      <c r="D1210" s="5" t="s">
        <v>2322</v>
      </c>
      <c r="E1210" s="5" t="s">
        <v>2323</v>
      </c>
      <c r="F1210" s="5"/>
      <c r="G1210" s="5" t="str">
        <f aca="false">IF(EXACT(D1210,E1210),"Tetap","Diubah")</f>
        <v>Diubah</v>
      </c>
      <c r="H1210" s="5" t="s">
        <v>23</v>
      </c>
    </row>
    <row r="1211" customFormat="false" ht="15" hidden="false" customHeight="false" outlineLevel="0" collapsed="false">
      <c r="A1211" s="5" t="n">
        <v>1210</v>
      </c>
      <c r="B1211" s="5" t="s">
        <v>2217</v>
      </c>
      <c r="C1211" s="5" t="s">
        <v>330</v>
      </c>
      <c r="D1211" s="5" t="s">
        <v>2324</v>
      </c>
      <c r="E1211" s="5" t="s">
        <v>2325</v>
      </c>
      <c r="F1211" s="5"/>
      <c r="G1211" s="5" t="str">
        <f aca="false">IF(EXACT(D1211,E1211),"Tetap","Diubah")</f>
        <v>Diubah</v>
      </c>
      <c r="H1211" s="5" t="s">
        <v>23</v>
      </c>
    </row>
    <row r="1212" customFormat="false" ht="15" hidden="false" customHeight="false" outlineLevel="0" collapsed="false">
      <c r="A1212" s="5" t="n">
        <v>1211</v>
      </c>
      <c r="B1212" s="5" t="s">
        <v>2217</v>
      </c>
      <c r="C1212" s="5" t="s">
        <v>45</v>
      </c>
      <c r="D1212" s="5" t="s">
        <v>2326</v>
      </c>
      <c r="E1212" s="5" t="s">
        <v>2326</v>
      </c>
      <c r="F1212" s="5" t="s">
        <v>28</v>
      </c>
      <c r="G1212" s="5" t="str">
        <f aca="false">IF(EXACT(D1212,E1212),"Tetap","Diubah")</f>
        <v>Tetap</v>
      </c>
      <c r="H1212" s="5" t="s">
        <v>23</v>
      </c>
    </row>
    <row r="1213" customFormat="false" ht="15" hidden="false" customHeight="false" outlineLevel="0" collapsed="false">
      <c r="A1213" s="5" t="n">
        <v>1212</v>
      </c>
      <c r="B1213" s="5" t="s">
        <v>2217</v>
      </c>
      <c r="C1213" s="5" t="s">
        <v>330</v>
      </c>
      <c r="D1213" s="5" t="s">
        <v>2327</v>
      </c>
      <c r="E1213" s="5" t="s">
        <v>2328</v>
      </c>
      <c r="F1213" s="5"/>
      <c r="G1213" s="5" t="str">
        <f aca="false">IF(EXACT(D1213,E1213),"Tetap","Diubah")</f>
        <v>Diubah</v>
      </c>
      <c r="H1213" s="5" t="s">
        <v>23</v>
      </c>
    </row>
    <row r="1214" customFormat="false" ht="15" hidden="false" customHeight="false" outlineLevel="0" collapsed="false">
      <c r="A1214" s="5" t="n">
        <v>1213</v>
      </c>
      <c r="B1214" s="5" t="s">
        <v>2217</v>
      </c>
      <c r="C1214" s="5" t="s">
        <v>330</v>
      </c>
      <c r="D1214" s="5" t="s">
        <v>2329</v>
      </c>
      <c r="E1214" s="5" t="s">
        <v>2298</v>
      </c>
      <c r="F1214" s="5"/>
      <c r="G1214" s="5" t="str">
        <f aca="false">IF(EXACT(D1214,E1214),"Tetap","Diubah")</f>
        <v>Diubah</v>
      </c>
      <c r="H1214" s="5" t="s">
        <v>23</v>
      </c>
    </row>
    <row r="1215" customFormat="false" ht="15" hidden="false" customHeight="false" outlineLevel="0" collapsed="false">
      <c r="A1215" s="5" t="n">
        <v>1214</v>
      </c>
      <c r="B1215" s="5" t="s">
        <v>2217</v>
      </c>
      <c r="C1215" s="5" t="s">
        <v>17</v>
      </c>
      <c r="D1215" s="5" t="s">
        <v>2330</v>
      </c>
      <c r="E1215" s="5" t="s">
        <v>2330</v>
      </c>
      <c r="F1215" s="5" t="s">
        <v>28</v>
      </c>
      <c r="G1215" s="5" t="str">
        <f aca="false">IF(EXACT(D1215,E1215),"Tetap","Diubah")</f>
        <v>Tetap</v>
      </c>
      <c r="H1215" s="5" t="s">
        <v>23</v>
      </c>
    </row>
    <row r="1216" customFormat="false" ht="15" hidden="false" customHeight="false" outlineLevel="0" collapsed="false">
      <c r="A1216" s="5" t="n">
        <v>1215</v>
      </c>
      <c r="B1216" s="5" t="s">
        <v>2217</v>
      </c>
      <c r="C1216" s="5" t="s">
        <v>54</v>
      </c>
      <c r="D1216" s="5" t="s">
        <v>2331</v>
      </c>
      <c r="E1216" s="5" t="s">
        <v>2332</v>
      </c>
      <c r="F1216" s="5"/>
      <c r="G1216" s="5" t="str">
        <f aca="false">IF(EXACT(D1216,E1216),"Tetap","Diubah")</f>
        <v>Diubah</v>
      </c>
      <c r="H1216" s="5" t="s">
        <v>23</v>
      </c>
    </row>
    <row r="1217" customFormat="false" ht="15" hidden="false" customHeight="false" outlineLevel="0" collapsed="false">
      <c r="A1217" s="5" t="n">
        <v>1216</v>
      </c>
      <c r="B1217" s="5" t="s">
        <v>2217</v>
      </c>
      <c r="C1217" s="5" t="s">
        <v>130</v>
      </c>
      <c r="D1217" s="5" t="s">
        <v>2333</v>
      </c>
      <c r="E1217" s="5" t="s">
        <v>2334</v>
      </c>
      <c r="F1217" s="5"/>
      <c r="G1217" s="5" t="str">
        <f aca="false">IF(EXACT(D1217,E1217),"Tetap","Diubah")</f>
        <v>Diubah</v>
      </c>
      <c r="H1217" s="5" t="s">
        <v>23</v>
      </c>
    </row>
    <row r="1218" customFormat="false" ht="15" hidden="false" customHeight="false" outlineLevel="0" collapsed="false">
      <c r="A1218" s="5" t="n">
        <v>1217</v>
      </c>
      <c r="B1218" s="5" t="s">
        <v>2217</v>
      </c>
      <c r="C1218" s="5" t="s">
        <v>54</v>
      </c>
      <c r="D1218" s="5" t="s">
        <v>2335</v>
      </c>
      <c r="E1218" s="5" t="s">
        <v>2336</v>
      </c>
      <c r="F1218" s="5"/>
      <c r="G1218" s="5" t="str">
        <f aca="false">IF(EXACT(D1218,E1218),"Tetap","Diubah")</f>
        <v>Diubah</v>
      </c>
      <c r="H1218" s="5" t="s">
        <v>23</v>
      </c>
    </row>
    <row r="1219" customFormat="false" ht="15" hidden="false" customHeight="false" outlineLevel="0" collapsed="false">
      <c r="A1219" s="5" t="n">
        <v>1218</v>
      </c>
      <c r="B1219" s="5" t="s">
        <v>2217</v>
      </c>
      <c r="C1219" s="5" t="s">
        <v>90</v>
      </c>
      <c r="D1219" s="5" t="s">
        <v>2337</v>
      </c>
      <c r="E1219" s="5" t="s">
        <v>2338</v>
      </c>
      <c r="F1219" s="5" t="s">
        <v>2339</v>
      </c>
      <c r="G1219" s="5" t="str">
        <f aca="false">IF(EXACT(D1219,E1219),"Tetap","Diubah")</f>
        <v>Diubah</v>
      </c>
      <c r="H1219" s="5" t="s">
        <v>23</v>
      </c>
    </row>
    <row r="1220" customFormat="false" ht="15" hidden="false" customHeight="false" outlineLevel="0" collapsed="false">
      <c r="A1220" s="5" t="n">
        <v>1219</v>
      </c>
      <c r="B1220" s="5" t="s">
        <v>2217</v>
      </c>
      <c r="C1220" s="5" t="s">
        <v>159</v>
      </c>
      <c r="D1220" s="5" t="s">
        <v>2340</v>
      </c>
      <c r="E1220" s="5" t="s">
        <v>2290</v>
      </c>
      <c r="F1220" s="5"/>
      <c r="G1220" s="5" t="str">
        <f aca="false">IF(EXACT(D1220,E1220),"Tetap","Diubah")</f>
        <v>Diubah</v>
      </c>
      <c r="H1220" s="5" t="s">
        <v>23</v>
      </c>
    </row>
    <row r="1221" customFormat="false" ht="15" hidden="false" customHeight="false" outlineLevel="0" collapsed="false">
      <c r="A1221" s="5" t="n">
        <v>1220</v>
      </c>
      <c r="B1221" s="5" t="s">
        <v>2217</v>
      </c>
      <c r="C1221" s="5" t="s">
        <v>45</v>
      </c>
      <c r="D1221" s="5" t="s">
        <v>2341</v>
      </c>
      <c r="E1221" s="5" t="s">
        <v>2342</v>
      </c>
      <c r="F1221" s="5"/>
      <c r="G1221" s="5" t="str">
        <f aca="false">IF(EXACT(D1221,E1221),"Tetap","Diubah")</f>
        <v>Diubah</v>
      </c>
      <c r="H1221" s="5" t="s">
        <v>23</v>
      </c>
    </row>
    <row r="1222" customFormat="false" ht="15" hidden="false" customHeight="false" outlineLevel="0" collapsed="false">
      <c r="A1222" s="5" t="n">
        <v>1221</v>
      </c>
      <c r="B1222" s="5" t="s">
        <v>2217</v>
      </c>
      <c r="C1222" s="5" t="s">
        <v>283</v>
      </c>
      <c r="D1222" s="5" t="s">
        <v>2343</v>
      </c>
      <c r="E1222" s="5" t="s">
        <v>2344</v>
      </c>
      <c r="F1222" s="5"/>
      <c r="G1222" s="5" t="str">
        <f aca="false">IF(EXACT(D1222,E1222),"Tetap","Diubah")</f>
        <v>Diubah</v>
      </c>
      <c r="H1222" s="5" t="s">
        <v>23</v>
      </c>
    </row>
    <row r="1223" customFormat="false" ht="23.85" hidden="false" customHeight="false" outlineLevel="0" collapsed="false">
      <c r="A1223" s="5" t="n">
        <v>1222</v>
      </c>
      <c r="B1223" s="5" t="s">
        <v>2217</v>
      </c>
      <c r="C1223" s="5" t="s">
        <v>130</v>
      </c>
      <c r="D1223" s="5" t="s">
        <v>2345</v>
      </c>
      <c r="E1223" s="5" t="s">
        <v>2346</v>
      </c>
      <c r="F1223" s="5"/>
      <c r="G1223" s="5" t="str">
        <f aca="false">IF(EXACT(D1223,E1223),"Tetap","Diubah")</f>
        <v>Diubah</v>
      </c>
      <c r="H1223" s="5" t="s">
        <v>23</v>
      </c>
    </row>
    <row r="1224" customFormat="false" ht="15" hidden="false" customHeight="false" outlineLevel="0" collapsed="false">
      <c r="A1224" s="5" t="n">
        <v>1223</v>
      </c>
      <c r="B1224" s="5" t="s">
        <v>2217</v>
      </c>
      <c r="C1224" s="5" t="s">
        <v>20</v>
      </c>
      <c r="D1224" s="5" t="s">
        <v>2347</v>
      </c>
      <c r="E1224" s="5" t="s">
        <v>2348</v>
      </c>
      <c r="F1224" s="5"/>
      <c r="G1224" s="5" t="str">
        <f aca="false">IF(EXACT(D1224,E1224),"Tetap","Diubah")</f>
        <v>Diubah</v>
      </c>
      <c r="H1224" s="5" t="s">
        <v>23</v>
      </c>
    </row>
    <row r="1225" customFormat="false" ht="15" hidden="false" customHeight="false" outlineLevel="0" collapsed="false">
      <c r="A1225" s="5" t="n">
        <v>1224</v>
      </c>
      <c r="B1225" s="5" t="s">
        <v>2217</v>
      </c>
      <c r="C1225" s="5" t="s">
        <v>330</v>
      </c>
      <c r="D1225" s="5" t="s">
        <v>2349</v>
      </c>
      <c r="E1225" s="5" t="s">
        <v>2350</v>
      </c>
      <c r="F1225" s="5"/>
      <c r="G1225" s="5" t="str">
        <f aca="false">IF(EXACT(D1225,E1225),"Tetap","Diubah")</f>
        <v>Diubah</v>
      </c>
      <c r="H1225" s="5" t="s">
        <v>23</v>
      </c>
    </row>
    <row r="1226" customFormat="false" ht="15" hidden="false" customHeight="false" outlineLevel="0" collapsed="false">
      <c r="A1226" s="5" t="n">
        <v>1225</v>
      </c>
      <c r="B1226" s="5" t="s">
        <v>2217</v>
      </c>
      <c r="C1226" s="5" t="s">
        <v>130</v>
      </c>
      <c r="D1226" s="5" t="s">
        <v>2351</v>
      </c>
      <c r="E1226" s="5" t="s">
        <v>2352</v>
      </c>
      <c r="F1226" s="5"/>
      <c r="G1226" s="5" t="str">
        <f aca="false">IF(EXACT(D1226,E1226),"Tetap","Diubah")</f>
        <v>Diubah</v>
      </c>
      <c r="H1226" s="5" t="s">
        <v>23</v>
      </c>
    </row>
    <row r="1227" customFormat="false" ht="23.85" hidden="false" customHeight="false" outlineLevel="0" collapsed="false">
      <c r="A1227" s="5" t="n">
        <v>1226</v>
      </c>
      <c r="B1227" s="5" t="s">
        <v>2217</v>
      </c>
      <c r="C1227" s="5" t="s">
        <v>130</v>
      </c>
      <c r="D1227" s="5" t="s">
        <v>2353</v>
      </c>
      <c r="E1227" s="5" t="s">
        <v>2354</v>
      </c>
      <c r="F1227" s="5"/>
      <c r="G1227" s="5" t="str">
        <f aca="false">IF(EXACT(D1227,E1227),"Tetap","Diubah")</f>
        <v>Diubah</v>
      </c>
      <c r="H1227" s="5" t="s">
        <v>23</v>
      </c>
    </row>
    <row r="1228" customFormat="false" ht="15" hidden="false" customHeight="false" outlineLevel="0" collapsed="false">
      <c r="A1228" s="5" t="n">
        <v>1227</v>
      </c>
      <c r="B1228" s="5" t="s">
        <v>2217</v>
      </c>
      <c r="C1228" s="5" t="s">
        <v>54</v>
      </c>
      <c r="D1228" s="5" t="s">
        <v>2355</v>
      </c>
      <c r="E1228" s="5" t="s">
        <v>2356</v>
      </c>
      <c r="F1228" s="5"/>
      <c r="G1228" s="5" t="str">
        <f aca="false">IF(EXACT(D1228,E1228),"Tetap","Diubah")</f>
        <v>Diubah</v>
      </c>
      <c r="H1228" s="5" t="s">
        <v>23</v>
      </c>
    </row>
    <row r="1229" customFormat="false" ht="15" hidden="false" customHeight="false" outlineLevel="0" collapsed="false">
      <c r="A1229" s="5" t="n">
        <v>1228</v>
      </c>
      <c r="B1229" s="5" t="s">
        <v>2217</v>
      </c>
      <c r="C1229" s="5" t="s">
        <v>54</v>
      </c>
      <c r="D1229" s="5" t="s">
        <v>2357</v>
      </c>
      <c r="E1229" s="5" t="s">
        <v>2358</v>
      </c>
      <c r="F1229" s="5"/>
      <c r="G1229" s="5" t="str">
        <f aca="false">IF(EXACT(D1229,E1229),"Tetap","Diubah")</f>
        <v>Diubah</v>
      </c>
      <c r="H1229" s="5" t="s">
        <v>23</v>
      </c>
    </row>
    <row r="1230" customFormat="false" ht="15" hidden="false" customHeight="false" outlineLevel="0" collapsed="false">
      <c r="A1230" s="5" t="n">
        <v>1229</v>
      </c>
      <c r="B1230" s="5" t="s">
        <v>2217</v>
      </c>
      <c r="C1230" s="5" t="s">
        <v>54</v>
      </c>
      <c r="D1230" s="5" t="s">
        <v>2359</v>
      </c>
      <c r="E1230" s="5" t="s">
        <v>2360</v>
      </c>
      <c r="F1230" s="5"/>
      <c r="G1230" s="5" t="str">
        <f aca="false">IF(EXACT(D1230,E1230),"Tetap","Diubah")</f>
        <v>Diubah</v>
      </c>
      <c r="H1230" s="5" t="s">
        <v>23</v>
      </c>
    </row>
    <row r="1231" customFormat="false" ht="23.85" hidden="false" customHeight="false" outlineLevel="0" collapsed="false">
      <c r="A1231" s="5" t="n">
        <v>1230</v>
      </c>
      <c r="B1231" s="5" t="s">
        <v>2217</v>
      </c>
      <c r="C1231" s="5" t="s">
        <v>130</v>
      </c>
      <c r="D1231" s="5" t="s">
        <v>2361</v>
      </c>
      <c r="E1231" s="5" t="s">
        <v>2362</v>
      </c>
      <c r="F1231" s="5"/>
      <c r="G1231" s="5" t="str">
        <f aca="false">IF(EXACT(D1231,E1231),"Tetap","Diubah")</f>
        <v>Diubah</v>
      </c>
      <c r="H1231" s="5" t="s">
        <v>23</v>
      </c>
    </row>
    <row r="1232" customFormat="false" ht="15" hidden="false" customHeight="false" outlineLevel="0" collapsed="false">
      <c r="A1232" s="5" t="n">
        <v>1231</v>
      </c>
      <c r="B1232" s="5" t="s">
        <v>2217</v>
      </c>
      <c r="C1232" s="5" t="s">
        <v>130</v>
      </c>
      <c r="D1232" s="5" t="s">
        <v>2363</v>
      </c>
      <c r="E1232" s="5" t="s">
        <v>2364</v>
      </c>
      <c r="F1232" s="5"/>
      <c r="G1232" s="5" t="str">
        <f aca="false">IF(EXACT(D1232,E1232),"Tetap","Diubah")</f>
        <v>Diubah</v>
      </c>
      <c r="H1232" s="5" t="s">
        <v>23</v>
      </c>
    </row>
    <row r="1233" customFormat="false" ht="23.85" hidden="false" customHeight="false" outlineLevel="0" collapsed="false">
      <c r="A1233" s="5" t="n">
        <v>1232</v>
      </c>
      <c r="B1233" s="5" t="s">
        <v>2217</v>
      </c>
      <c r="C1233" s="5" t="s">
        <v>71</v>
      </c>
      <c r="D1233" s="5" t="s">
        <v>2365</v>
      </c>
      <c r="E1233" s="5" t="s">
        <v>2366</v>
      </c>
      <c r="F1233" s="5"/>
      <c r="G1233" s="5" t="str">
        <f aca="false">IF(EXACT(D1233,E1233),"Tetap","Diubah")</f>
        <v>Diubah</v>
      </c>
      <c r="H1233" s="5" t="s">
        <v>23</v>
      </c>
    </row>
    <row r="1234" customFormat="false" ht="15" hidden="false" customHeight="false" outlineLevel="0" collapsed="false">
      <c r="A1234" s="5" t="n">
        <v>1233</v>
      </c>
      <c r="B1234" s="5" t="s">
        <v>2217</v>
      </c>
      <c r="C1234" s="5" t="s">
        <v>130</v>
      </c>
      <c r="D1234" s="5" t="s">
        <v>2367</v>
      </c>
      <c r="E1234" s="5" t="s">
        <v>2368</v>
      </c>
      <c r="F1234" s="5"/>
      <c r="G1234" s="5" t="str">
        <f aca="false">IF(EXACT(D1234,E1234),"Tetap","Diubah")</f>
        <v>Diubah</v>
      </c>
      <c r="H1234" s="5" t="s">
        <v>23</v>
      </c>
    </row>
    <row r="1235" customFormat="false" ht="15" hidden="false" customHeight="false" outlineLevel="0" collapsed="false">
      <c r="A1235" s="5" t="n">
        <v>1234</v>
      </c>
      <c r="B1235" s="5" t="s">
        <v>2217</v>
      </c>
      <c r="C1235" s="5" t="s">
        <v>20</v>
      </c>
      <c r="D1235" s="5" t="s">
        <v>2369</v>
      </c>
      <c r="E1235" s="5" t="s">
        <v>2370</v>
      </c>
      <c r="F1235" s="5"/>
      <c r="G1235" s="5" t="str">
        <f aca="false">IF(EXACT(D1235,E1235),"Tetap","Diubah")</f>
        <v>Diubah</v>
      </c>
      <c r="H1235" s="5" t="s">
        <v>23</v>
      </c>
    </row>
    <row r="1236" customFormat="false" ht="15" hidden="false" customHeight="false" outlineLevel="0" collapsed="false">
      <c r="A1236" s="5" t="n">
        <v>1235</v>
      </c>
      <c r="B1236" s="5" t="s">
        <v>2217</v>
      </c>
      <c r="C1236" s="5" t="s">
        <v>283</v>
      </c>
      <c r="D1236" s="5" t="s">
        <v>2371</v>
      </c>
      <c r="E1236" s="5" t="s">
        <v>2372</v>
      </c>
      <c r="F1236" s="5"/>
      <c r="G1236" s="5" t="str">
        <f aca="false">IF(EXACT(D1236,E1236),"Tetap","Diubah")</f>
        <v>Diubah</v>
      </c>
      <c r="H1236" s="5" t="s">
        <v>23</v>
      </c>
    </row>
    <row r="1237" customFormat="false" ht="15" hidden="false" customHeight="false" outlineLevel="0" collapsed="false">
      <c r="A1237" s="5" t="n">
        <v>1236</v>
      </c>
      <c r="B1237" s="5" t="s">
        <v>2217</v>
      </c>
      <c r="C1237" s="5" t="s">
        <v>45</v>
      </c>
      <c r="D1237" s="5" t="s">
        <v>2373</v>
      </c>
      <c r="E1237" s="5" t="s">
        <v>2374</v>
      </c>
      <c r="F1237" s="5"/>
      <c r="G1237" s="5" t="str">
        <f aca="false">IF(EXACT(D1237,E1237),"Tetap","Diubah")</f>
        <v>Diubah</v>
      </c>
      <c r="H1237" s="5" t="s">
        <v>23</v>
      </c>
    </row>
    <row r="1238" customFormat="false" ht="15" hidden="false" customHeight="false" outlineLevel="0" collapsed="false">
      <c r="A1238" s="5" t="n">
        <v>1237</v>
      </c>
      <c r="B1238" s="5" t="s">
        <v>2217</v>
      </c>
      <c r="C1238" s="5" t="s">
        <v>45</v>
      </c>
      <c r="D1238" s="5" t="s">
        <v>2375</v>
      </c>
      <c r="E1238" s="5" t="s">
        <v>2376</v>
      </c>
      <c r="F1238" s="5"/>
      <c r="G1238" s="5" t="str">
        <f aca="false">IF(EXACT(D1238,E1238),"Tetap","Diubah")</f>
        <v>Diubah</v>
      </c>
      <c r="H1238" s="5" t="s">
        <v>23</v>
      </c>
    </row>
    <row r="1239" customFormat="false" ht="15" hidden="false" customHeight="false" outlineLevel="0" collapsed="false">
      <c r="A1239" s="5" t="n">
        <v>1238</v>
      </c>
      <c r="B1239" s="5" t="s">
        <v>2217</v>
      </c>
      <c r="C1239" s="5" t="s">
        <v>130</v>
      </c>
      <c r="D1239" s="5" t="s">
        <v>2377</v>
      </c>
      <c r="E1239" s="5" t="s">
        <v>1928</v>
      </c>
      <c r="F1239" s="5"/>
      <c r="G1239" s="5" t="str">
        <f aca="false">IF(EXACT(D1239,E1239),"Tetap","Diubah")</f>
        <v>Diubah</v>
      </c>
      <c r="H1239" s="5" t="s">
        <v>23</v>
      </c>
    </row>
    <row r="1240" customFormat="false" ht="15" hidden="false" customHeight="false" outlineLevel="0" collapsed="false">
      <c r="A1240" s="5" t="n">
        <v>1239</v>
      </c>
      <c r="B1240" s="5" t="s">
        <v>2217</v>
      </c>
      <c r="C1240" s="5" t="s">
        <v>54</v>
      </c>
      <c r="D1240" s="5" t="s">
        <v>238</v>
      </c>
      <c r="E1240" s="5" t="s">
        <v>239</v>
      </c>
      <c r="F1240" s="5"/>
      <c r="G1240" s="5" t="str">
        <f aca="false">IF(EXACT(D1240,E1240),"Tetap","Diubah")</f>
        <v>Diubah</v>
      </c>
      <c r="H1240" s="5" t="s">
        <v>23</v>
      </c>
    </row>
    <row r="1241" customFormat="false" ht="15" hidden="false" customHeight="false" outlineLevel="0" collapsed="false">
      <c r="A1241" s="5" t="n">
        <v>1240</v>
      </c>
      <c r="B1241" s="5" t="s">
        <v>2217</v>
      </c>
      <c r="C1241" s="5" t="s">
        <v>90</v>
      </c>
      <c r="D1241" s="5" t="s">
        <v>2378</v>
      </c>
      <c r="E1241" s="5" t="s">
        <v>2379</v>
      </c>
      <c r="F1241" s="5" t="s">
        <v>2380</v>
      </c>
      <c r="G1241" s="5" t="str">
        <f aca="false">IF(EXACT(D1241,E1241),"Tetap","Diubah")</f>
        <v>Diubah</v>
      </c>
      <c r="H1241" s="5" t="s">
        <v>23</v>
      </c>
    </row>
    <row r="1242" customFormat="false" ht="15" hidden="false" customHeight="false" outlineLevel="0" collapsed="false">
      <c r="A1242" s="5" t="n">
        <v>1241</v>
      </c>
      <c r="B1242" s="5" t="s">
        <v>2217</v>
      </c>
      <c r="C1242" s="5" t="s">
        <v>130</v>
      </c>
      <c r="D1242" s="5" t="s">
        <v>2381</v>
      </c>
      <c r="E1242" s="5" t="s">
        <v>132</v>
      </c>
      <c r="F1242" s="5"/>
      <c r="G1242" s="5" t="str">
        <f aca="false">IF(EXACT(D1242,E1242),"Tetap","Diubah")</f>
        <v>Diubah</v>
      </c>
      <c r="H1242" s="5" t="s">
        <v>23</v>
      </c>
    </row>
    <row r="1243" customFormat="false" ht="23.85" hidden="false" customHeight="false" outlineLevel="0" collapsed="false">
      <c r="A1243" s="5" t="n">
        <v>1242</v>
      </c>
      <c r="B1243" s="5" t="s">
        <v>2217</v>
      </c>
      <c r="C1243" s="5" t="s">
        <v>175</v>
      </c>
      <c r="D1243" s="5" t="s">
        <v>2382</v>
      </c>
      <c r="E1243" s="5" t="s">
        <v>2383</v>
      </c>
      <c r="F1243" s="5"/>
      <c r="G1243" s="5" t="str">
        <f aca="false">IF(EXACT(D1243,E1243),"Tetap","Diubah")</f>
        <v>Diubah</v>
      </c>
      <c r="H1243" s="5" t="s">
        <v>167</v>
      </c>
    </row>
    <row r="1244" customFormat="false" ht="23.85" hidden="false" customHeight="false" outlineLevel="0" collapsed="false">
      <c r="A1244" s="5" t="n">
        <v>1243</v>
      </c>
      <c r="B1244" s="5" t="s">
        <v>2217</v>
      </c>
      <c r="C1244" s="5" t="s">
        <v>163</v>
      </c>
      <c r="D1244" s="5" t="s">
        <v>2384</v>
      </c>
      <c r="E1244" s="5" t="s">
        <v>2385</v>
      </c>
      <c r="F1244" s="5"/>
      <c r="G1244" s="5" t="str">
        <f aca="false">IF(EXACT(D1244,E1244),"Tetap","Diubah")</f>
        <v>Diubah</v>
      </c>
      <c r="H1244" s="5" t="s">
        <v>167</v>
      </c>
    </row>
    <row r="1245" customFormat="false" ht="23.85" hidden="false" customHeight="false" outlineLevel="0" collapsed="false">
      <c r="A1245" s="5" t="n">
        <v>1244</v>
      </c>
      <c r="B1245" s="5" t="s">
        <v>2217</v>
      </c>
      <c r="C1245" s="5" t="s">
        <v>175</v>
      </c>
      <c r="D1245" s="5" t="s">
        <v>2386</v>
      </c>
      <c r="E1245" s="5" t="s">
        <v>2387</v>
      </c>
      <c r="F1245" s="5"/>
      <c r="G1245" s="5" t="str">
        <f aca="false">IF(EXACT(D1245,E1245),"Tetap","Diubah")</f>
        <v>Diubah</v>
      </c>
      <c r="H1245" s="5" t="s">
        <v>167</v>
      </c>
    </row>
    <row r="1246" customFormat="false" ht="23.85" hidden="false" customHeight="false" outlineLevel="0" collapsed="false">
      <c r="A1246" s="5" t="n">
        <v>1245</v>
      </c>
      <c r="B1246" s="5" t="s">
        <v>2217</v>
      </c>
      <c r="C1246" s="5" t="s">
        <v>163</v>
      </c>
      <c r="D1246" s="5" t="s">
        <v>2388</v>
      </c>
      <c r="E1246" s="5" t="s">
        <v>2389</v>
      </c>
      <c r="F1246" s="5"/>
      <c r="G1246" s="5" t="str">
        <f aca="false">IF(EXACT(D1246,E1246),"Tetap","Diubah")</f>
        <v>Diubah</v>
      </c>
      <c r="H1246" s="5" t="s">
        <v>167</v>
      </c>
    </row>
    <row r="1247" customFormat="false" ht="23.85" hidden="false" customHeight="false" outlineLevel="0" collapsed="false">
      <c r="A1247" s="5" t="n">
        <v>1246</v>
      </c>
      <c r="B1247" s="5" t="s">
        <v>2217</v>
      </c>
      <c r="C1247" s="5" t="s">
        <v>163</v>
      </c>
      <c r="D1247" s="5" t="s">
        <v>2390</v>
      </c>
      <c r="E1247" s="5" t="s">
        <v>2391</v>
      </c>
      <c r="F1247" s="5"/>
      <c r="G1247" s="5" t="str">
        <f aca="false">IF(EXACT(D1247,E1247),"Tetap","Diubah")</f>
        <v>Diubah</v>
      </c>
      <c r="H1247" s="5" t="s">
        <v>167</v>
      </c>
    </row>
    <row r="1248" customFormat="false" ht="23.85" hidden="false" customHeight="false" outlineLevel="0" collapsed="false">
      <c r="A1248" s="5" t="n">
        <v>1247</v>
      </c>
      <c r="B1248" s="5" t="s">
        <v>2217</v>
      </c>
      <c r="C1248" s="5" t="s">
        <v>175</v>
      </c>
      <c r="D1248" s="5" t="s">
        <v>2392</v>
      </c>
      <c r="E1248" s="5" t="s">
        <v>2393</v>
      </c>
      <c r="F1248" s="5"/>
      <c r="G1248" s="5" t="str">
        <f aca="false">IF(EXACT(D1248,E1248),"Tetap","Diubah")</f>
        <v>Diubah</v>
      </c>
      <c r="H1248" s="5" t="s">
        <v>167</v>
      </c>
    </row>
    <row r="1249" customFormat="false" ht="23.85" hidden="false" customHeight="false" outlineLevel="0" collapsed="false">
      <c r="A1249" s="5" t="n">
        <v>1248</v>
      </c>
      <c r="B1249" s="5" t="s">
        <v>2217</v>
      </c>
      <c r="C1249" s="5" t="s">
        <v>488</v>
      </c>
      <c r="D1249" s="5" t="s">
        <v>2394</v>
      </c>
      <c r="E1249" s="5" t="s">
        <v>2394</v>
      </c>
      <c r="F1249" s="5"/>
      <c r="G1249" s="5" t="str">
        <f aca="false">IF(EXACT(D1249,E1249),"Tetap","Diubah")</f>
        <v>Tetap</v>
      </c>
      <c r="H1249" s="5" t="s">
        <v>167</v>
      </c>
    </row>
    <row r="1250" customFormat="false" ht="23.85" hidden="false" customHeight="false" outlineLevel="0" collapsed="false">
      <c r="A1250" s="5" t="n">
        <v>1249</v>
      </c>
      <c r="B1250" s="5" t="s">
        <v>2217</v>
      </c>
      <c r="C1250" s="5" t="s">
        <v>175</v>
      </c>
      <c r="D1250" s="5" t="s">
        <v>2395</v>
      </c>
      <c r="E1250" s="5" t="s">
        <v>2396</v>
      </c>
      <c r="F1250" s="5"/>
      <c r="G1250" s="5" t="str">
        <f aca="false">IF(EXACT(D1250,E1250),"Tetap","Diubah")</f>
        <v>Diubah</v>
      </c>
      <c r="H1250" s="5" t="s">
        <v>167</v>
      </c>
    </row>
    <row r="1251" customFormat="false" ht="23.85" hidden="false" customHeight="false" outlineLevel="0" collapsed="false">
      <c r="A1251" s="5" t="n">
        <v>1250</v>
      </c>
      <c r="B1251" s="5" t="s">
        <v>2217</v>
      </c>
      <c r="C1251" s="5" t="s">
        <v>163</v>
      </c>
      <c r="D1251" s="5" t="s">
        <v>2397</v>
      </c>
      <c r="E1251" s="5" t="s">
        <v>2398</v>
      </c>
      <c r="F1251" s="5"/>
      <c r="G1251" s="5" t="str">
        <f aca="false">IF(EXACT(D1251,E1251),"Tetap","Diubah")</f>
        <v>Diubah</v>
      </c>
      <c r="H1251" s="5" t="s">
        <v>167</v>
      </c>
    </row>
    <row r="1252" customFormat="false" ht="23.85" hidden="false" customHeight="false" outlineLevel="0" collapsed="false">
      <c r="A1252" s="5" t="n">
        <v>1251</v>
      </c>
      <c r="B1252" s="5" t="s">
        <v>2217</v>
      </c>
      <c r="C1252" s="5" t="s">
        <v>488</v>
      </c>
      <c r="D1252" s="5" t="s">
        <v>2399</v>
      </c>
      <c r="E1252" s="5" t="s">
        <v>2400</v>
      </c>
      <c r="F1252" s="5"/>
      <c r="G1252" s="5" t="str">
        <f aca="false">IF(EXACT(D1252,E1252),"Tetap","Diubah")</f>
        <v>Diubah</v>
      </c>
      <c r="H1252" s="5" t="s">
        <v>167</v>
      </c>
    </row>
    <row r="1253" customFormat="false" ht="23.85" hidden="false" customHeight="false" outlineLevel="0" collapsed="false">
      <c r="A1253" s="5" t="n">
        <v>1252</v>
      </c>
      <c r="B1253" s="5" t="s">
        <v>2217</v>
      </c>
      <c r="C1253" s="5" t="s">
        <v>175</v>
      </c>
      <c r="D1253" s="5" t="s">
        <v>2401</v>
      </c>
      <c r="E1253" s="5" t="s">
        <v>2402</v>
      </c>
      <c r="F1253" s="5"/>
      <c r="G1253" s="5" t="str">
        <f aca="false">IF(EXACT(D1253,E1253),"Tetap","Diubah")</f>
        <v>Diubah</v>
      </c>
      <c r="H1253" s="5" t="s">
        <v>167</v>
      </c>
    </row>
    <row r="1254" customFormat="false" ht="23.85" hidden="false" customHeight="false" outlineLevel="0" collapsed="false">
      <c r="A1254" s="5" t="n">
        <v>1253</v>
      </c>
      <c r="B1254" s="5" t="s">
        <v>2217</v>
      </c>
      <c r="C1254" s="5" t="s">
        <v>163</v>
      </c>
      <c r="D1254" s="5" t="s">
        <v>2403</v>
      </c>
      <c r="E1254" s="5" t="s">
        <v>2404</v>
      </c>
      <c r="F1254" s="5"/>
      <c r="G1254" s="5" t="str">
        <f aca="false">IF(EXACT(D1254,E1254),"Tetap","Diubah")</f>
        <v>Diubah</v>
      </c>
      <c r="H1254" s="5" t="s">
        <v>167</v>
      </c>
    </row>
    <row r="1255" customFormat="false" ht="23.85" hidden="false" customHeight="false" outlineLevel="0" collapsed="false">
      <c r="A1255" s="5" t="n">
        <v>1254</v>
      </c>
      <c r="B1255" s="5" t="s">
        <v>2217</v>
      </c>
      <c r="C1255" s="5" t="s">
        <v>163</v>
      </c>
      <c r="D1255" s="5" t="s">
        <v>2405</v>
      </c>
      <c r="E1255" s="5" t="s">
        <v>2406</v>
      </c>
      <c r="F1255" s="5"/>
      <c r="G1255" s="5" t="str">
        <f aca="false">IF(EXACT(D1255,E1255),"Tetap","Diubah")</f>
        <v>Diubah</v>
      </c>
      <c r="H1255" s="5" t="s">
        <v>167</v>
      </c>
    </row>
    <row r="1256" customFormat="false" ht="23.85" hidden="false" customHeight="false" outlineLevel="0" collapsed="false">
      <c r="A1256" s="5" t="n">
        <v>1255</v>
      </c>
      <c r="B1256" s="5" t="s">
        <v>2217</v>
      </c>
      <c r="C1256" s="5" t="s">
        <v>175</v>
      </c>
      <c r="D1256" s="5" t="s">
        <v>2407</v>
      </c>
      <c r="E1256" s="5" t="s">
        <v>2408</v>
      </c>
      <c r="F1256" s="5"/>
      <c r="G1256" s="5" t="str">
        <f aca="false">IF(EXACT(D1256,E1256),"Tetap","Diubah")</f>
        <v>Diubah</v>
      </c>
      <c r="H1256" s="5" t="s">
        <v>167</v>
      </c>
    </row>
    <row r="1257" customFormat="false" ht="23.85" hidden="false" customHeight="false" outlineLevel="0" collapsed="false">
      <c r="A1257" s="5" t="n">
        <v>1256</v>
      </c>
      <c r="B1257" s="5" t="s">
        <v>2217</v>
      </c>
      <c r="C1257" s="5" t="s">
        <v>163</v>
      </c>
      <c r="D1257" s="5" t="s">
        <v>2409</v>
      </c>
      <c r="E1257" s="5" t="s">
        <v>2410</v>
      </c>
      <c r="F1257" s="5"/>
      <c r="G1257" s="5" t="str">
        <f aca="false">IF(EXACT(D1257,E1257),"Tetap","Diubah")</f>
        <v>Diubah</v>
      </c>
      <c r="H1257" s="5" t="s">
        <v>167</v>
      </c>
    </row>
    <row r="1258" customFormat="false" ht="23.85" hidden="false" customHeight="false" outlineLevel="0" collapsed="false">
      <c r="A1258" s="5" t="n">
        <v>1257</v>
      </c>
      <c r="B1258" s="5" t="s">
        <v>2217</v>
      </c>
      <c r="C1258" s="5" t="s">
        <v>488</v>
      </c>
      <c r="D1258" s="5" t="s">
        <v>2411</v>
      </c>
      <c r="E1258" s="5" t="s">
        <v>2412</v>
      </c>
      <c r="F1258" s="5"/>
      <c r="G1258" s="5" t="str">
        <f aca="false">IF(EXACT(D1258,E1258),"Tetap","Diubah")</f>
        <v>Diubah</v>
      </c>
      <c r="H1258" s="5" t="s">
        <v>167</v>
      </c>
    </row>
    <row r="1259" customFormat="false" ht="23.85" hidden="false" customHeight="false" outlineLevel="0" collapsed="false">
      <c r="A1259" s="5" t="n">
        <v>1258</v>
      </c>
      <c r="B1259" s="5" t="s">
        <v>2217</v>
      </c>
      <c r="C1259" s="5" t="s">
        <v>163</v>
      </c>
      <c r="D1259" s="5" t="s">
        <v>2413</v>
      </c>
      <c r="E1259" s="5" t="s">
        <v>2414</v>
      </c>
      <c r="F1259" s="5"/>
      <c r="G1259" s="5" t="str">
        <f aca="false">IF(EXACT(D1259,E1259),"Tetap","Diubah")</f>
        <v>Diubah</v>
      </c>
      <c r="H1259" s="5" t="s">
        <v>167</v>
      </c>
    </row>
    <row r="1260" customFormat="false" ht="23.85" hidden="false" customHeight="false" outlineLevel="0" collapsed="false">
      <c r="A1260" s="5" t="n">
        <v>1259</v>
      </c>
      <c r="B1260" s="5" t="s">
        <v>2217</v>
      </c>
      <c r="C1260" s="5" t="s">
        <v>488</v>
      </c>
      <c r="D1260" s="5" t="s">
        <v>2415</v>
      </c>
      <c r="E1260" s="5" t="s">
        <v>2416</v>
      </c>
      <c r="F1260" s="5"/>
      <c r="G1260" s="5" t="str">
        <f aca="false">IF(EXACT(D1260,E1260),"Tetap","Diubah")</f>
        <v>Diubah</v>
      </c>
      <c r="H1260" s="5" t="s">
        <v>167</v>
      </c>
    </row>
    <row r="1261" customFormat="false" ht="23.85" hidden="false" customHeight="false" outlineLevel="0" collapsed="false">
      <c r="A1261" s="5" t="n">
        <v>1260</v>
      </c>
      <c r="B1261" s="5" t="s">
        <v>2217</v>
      </c>
      <c r="C1261" s="5" t="s">
        <v>163</v>
      </c>
      <c r="D1261" s="5" t="s">
        <v>2417</v>
      </c>
      <c r="E1261" s="5" t="s">
        <v>2418</v>
      </c>
      <c r="F1261" s="5"/>
      <c r="G1261" s="5" t="str">
        <f aca="false">IF(EXACT(D1261,E1261),"Tetap","Diubah")</f>
        <v>Diubah</v>
      </c>
      <c r="H1261" s="5" t="s">
        <v>167</v>
      </c>
    </row>
    <row r="1262" customFormat="false" ht="23.85" hidden="false" customHeight="false" outlineLevel="0" collapsed="false">
      <c r="A1262" s="5" t="n">
        <v>1261</v>
      </c>
      <c r="B1262" s="5" t="s">
        <v>2217</v>
      </c>
      <c r="C1262" s="5" t="s">
        <v>163</v>
      </c>
      <c r="D1262" s="5" t="s">
        <v>2419</v>
      </c>
      <c r="E1262" s="5" t="s">
        <v>2420</v>
      </c>
      <c r="F1262" s="5"/>
      <c r="G1262" s="5" t="str">
        <f aca="false">IF(EXACT(D1262,E1262),"Tetap","Diubah")</f>
        <v>Diubah</v>
      </c>
      <c r="H1262" s="5" t="s">
        <v>167</v>
      </c>
    </row>
    <row r="1263" customFormat="false" ht="23.85" hidden="false" customHeight="false" outlineLevel="0" collapsed="false">
      <c r="A1263" s="5" t="n">
        <v>1262</v>
      </c>
      <c r="B1263" s="5" t="s">
        <v>2217</v>
      </c>
      <c r="C1263" s="5" t="s">
        <v>163</v>
      </c>
      <c r="D1263" s="5" t="s">
        <v>2421</v>
      </c>
      <c r="E1263" s="5" t="s">
        <v>571</v>
      </c>
      <c r="F1263" s="5"/>
      <c r="G1263" s="5" t="str">
        <f aca="false">IF(EXACT(D1263,E1263),"Tetap","Diubah")</f>
        <v>Diubah</v>
      </c>
      <c r="H1263" s="5" t="s">
        <v>167</v>
      </c>
    </row>
    <row r="1264" customFormat="false" ht="23.85" hidden="false" customHeight="false" outlineLevel="0" collapsed="false">
      <c r="A1264" s="5" t="n">
        <v>1263</v>
      </c>
      <c r="B1264" s="5" t="s">
        <v>2217</v>
      </c>
      <c r="C1264" s="5" t="s">
        <v>163</v>
      </c>
      <c r="D1264" s="5" t="s">
        <v>2422</v>
      </c>
      <c r="E1264" s="5" t="s">
        <v>569</v>
      </c>
      <c r="F1264" s="5"/>
      <c r="G1264" s="5" t="str">
        <f aca="false">IF(EXACT(D1264,E1264),"Tetap","Diubah")</f>
        <v>Diubah</v>
      </c>
      <c r="H1264" s="5" t="s">
        <v>167</v>
      </c>
    </row>
    <row r="1265" customFormat="false" ht="23.85" hidden="false" customHeight="false" outlineLevel="0" collapsed="false">
      <c r="A1265" s="5" t="n">
        <v>1264</v>
      </c>
      <c r="B1265" s="5" t="s">
        <v>2217</v>
      </c>
      <c r="C1265" s="5" t="s">
        <v>163</v>
      </c>
      <c r="D1265" s="5" t="s">
        <v>2423</v>
      </c>
      <c r="E1265" s="5" t="s">
        <v>556</v>
      </c>
      <c r="F1265" s="5"/>
      <c r="G1265" s="5" t="str">
        <f aca="false">IF(EXACT(D1265,E1265),"Tetap","Diubah")</f>
        <v>Diubah</v>
      </c>
      <c r="H1265" s="5" t="s">
        <v>167</v>
      </c>
    </row>
    <row r="1266" customFormat="false" ht="23.85" hidden="false" customHeight="false" outlineLevel="0" collapsed="false">
      <c r="A1266" s="5" t="n">
        <v>1265</v>
      </c>
      <c r="B1266" s="5" t="s">
        <v>2217</v>
      </c>
      <c r="C1266" s="5" t="s">
        <v>175</v>
      </c>
      <c r="D1266" s="5" t="s">
        <v>2424</v>
      </c>
      <c r="E1266" s="5" t="s">
        <v>576</v>
      </c>
      <c r="F1266" s="5"/>
      <c r="G1266" s="5" t="str">
        <f aca="false">IF(EXACT(D1266,E1266),"Tetap","Diubah")</f>
        <v>Diubah</v>
      </c>
      <c r="H1266" s="5" t="s">
        <v>167</v>
      </c>
    </row>
    <row r="1267" customFormat="false" ht="23.85" hidden="false" customHeight="false" outlineLevel="0" collapsed="false">
      <c r="A1267" s="5" t="n">
        <v>1266</v>
      </c>
      <c r="B1267" s="5" t="s">
        <v>2217</v>
      </c>
      <c r="C1267" s="5" t="s">
        <v>163</v>
      </c>
      <c r="D1267" s="5" t="s">
        <v>2425</v>
      </c>
      <c r="E1267" s="5" t="s">
        <v>2426</v>
      </c>
      <c r="F1267" s="5"/>
      <c r="G1267" s="5" t="str">
        <f aca="false">IF(EXACT(D1267,E1267),"Tetap","Diubah")</f>
        <v>Diubah</v>
      </c>
      <c r="H1267" s="5" t="s">
        <v>167</v>
      </c>
    </row>
    <row r="1268" customFormat="false" ht="23.85" hidden="false" customHeight="false" outlineLevel="0" collapsed="false">
      <c r="A1268" s="5" t="n">
        <v>1267</v>
      </c>
      <c r="B1268" s="5" t="s">
        <v>2217</v>
      </c>
      <c r="C1268" s="5" t="s">
        <v>488</v>
      </c>
      <c r="D1268" s="5" t="s">
        <v>2427</v>
      </c>
      <c r="E1268" s="5" t="s">
        <v>2428</v>
      </c>
      <c r="F1268" s="5"/>
      <c r="G1268" s="5" t="str">
        <f aca="false">IF(EXACT(D1268,E1268),"Tetap","Diubah")</f>
        <v>Diubah</v>
      </c>
      <c r="H1268" s="5" t="s">
        <v>167</v>
      </c>
    </row>
    <row r="1269" customFormat="false" ht="23.85" hidden="false" customHeight="false" outlineLevel="0" collapsed="false">
      <c r="A1269" s="5" t="n">
        <v>1268</v>
      </c>
      <c r="B1269" s="5" t="s">
        <v>2217</v>
      </c>
      <c r="C1269" s="5" t="s">
        <v>175</v>
      </c>
      <c r="D1269" s="5" t="s">
        <v>2429</v>
      </c>
      <c r="E1269" s="5" t="s">
        <v>2430</v>
      </c>
      <c r="F1269" s="5"/>
      <c r="G1269" s="5" t="str">
        <f aca="false">IF(EXACT(D1269,E1269),"Tetap","Diubah")</f>
        <v>Diubah</v>
      </c>
      <c r="H1269" s="5" t="s">
        <v>167</v>
      </c>
    </row>
    <row r="1270" customFormat="false" ht="23.85" hidden="false" customHeight="false" outlineLevel="0" collapsed="false">
      <c r="A1270" s="5" t="n">
        <v>1269</v>
      </c>
      <c r="B1270" s="5" t="s">
        <v>2217</v>
      </c>
      <c r="C1270" s="5" t="s">
        <v>175</v>
      </c>
      <c r="D1270" s="5" t="s">
        <v>2431</v>
      </c>
      <c r="E1270" s="5" t="s">
        <v>2432</v>
      </c>
      <c r="F1270" s="5"/>
      <c r="G1270" s="5" t="str">
        <f aca="false">IF(EXACT(D1270,E1270),"Tetap","Diubah")</f>
        <v>Diubah</v>
      </c>
      <c r="H1270" s="5" t="s">
        <v>167</v>
      </c>
    </row>
    <row r="1271" customFormat="false" ht="23.85" hidden="false" customHeight="false" outlineLevel="0" collapsed="false">
      <c r="A1271" s="5" t="n">
        <v>1270</v>
      </c>
      <c r="B1271" s="5" t="s">
        <v>2217</v>
      </c>
      <c r="C1271" s="5" t="s">
        <v>163</v>
      </c>
      <c r="D1271" s="5" t="s">
        <v>2433</v>
      </c>
      <c r="E1271" s="5" t="s">
        <v>2434</v>
      </c>
      <c r="F1271" s="5"/>
      <c r="G1271" s="5" t="str">
        <f aca="false">IF(EXACT(D1271,E1271),"Tetap","Diubah")</f>
        <v>Diubah</v>
      </c>
      <c r="H1271" s="5" t="s">
        <v>167</v>
      </c>
    </row>
    <row r="1272" customFormat="false" ht="23.85" hidden="false" customHeight="false" outlineLevel="0" collapsed="false">
      <c r="A1272" s="5" t="n">
        <v>1271</v>
      </c>
      <c r="B1272" s="5" t="s">
        <v>2217</v>
      </c>
      <c r="C1272" s="5" t="s">
        <v>163</v>
      </c>
      <c r="D1272" s="5" t="s">
        <v>2435</v>
      </c>
      <c r="E1272" s="5" t="s">
        <v>2436</v>
      </c>
      <c r="F1272" s="5"/>
      <c r="G1272" s="5" t="str">
        <f aca="false">IF(EXACT(D1272,E1272),"Tetap","Diubah")</f>
        <v>Diubah</v>
      </c>
      <c r="H1272" s="5" t="s">
        <v>167</v>
      </c>
    </row>
    <row r="1273" customFormat="false" ht="23.85" hidden="false" customHeight="false" outlineLevel="0" collapsed="false">
      <c r="A1273" s="5" t="n">
        <v>1272</v>
      </c>
      <c r="B1273" s="5" t="s">
        <v>2217</v>
      </c>
      <c r="C1273" s="5" t="s">
        <v>175</v>
      </c>
      <c r="D1273" s="5" t="s">
        <v>2437</v>
      </c>
      <c r="E1273" s="5" t="s">
        <v>2438</v>
      </c>
      <c r="F1273" s="5"/>
      <c r="G1273" s="5" t="str">
        <f aca="false">IF(EXACT(D1273,E1273),"Tetap","Diubah")</f>
        <v>Diubah</v>
      </c>
      <c r="H1273" s="5" t="s">
        <v>167</v>
      </c>
    </row>
    <row r="1274" customFormat="false" ht="23.85" hidden="false" customHeight="false" outlineLevel="0" collapsed="false">
      <c r="A1274" s="5" t="n">
        <v>1273</v>
      </c>
      <c r="B1274" s="5" t="s">
        <v>2217</v>
      </c>
      <c r="C1274" s="5" t="s">
        <v>175</v>
      </c>
      <c r="D1274" s="5" t="s">
        <v>2439</v>
      </c>
      <c r="E1274" s="5" t="s">
        <v>2440</v>
      </c>
      <c r="F1274" s="5"/>
      <c r="G1274" s="5" t="str">
        <f aca="false">IF(EXACT(D1274,E1274),"Tetap","Diubah")</f>
        <v>Diubah</v>
      </c>
      <c r="H1274" s="5" t="s">
        <v>167</v>
      </c>
    </row>
    <row r="1275" customFormat="false" ht="23.85" hidden="false" customHeight="false" outlineLevel="0" collapsed="false">
      <c r="A1275" s="5" t="n">
        <v>1274</v>
      </c>
      <c r="B1275" s="5" t="s">
        <v>2217</v>
      </c>
      <c r="C1275" s="5" t="s">
        <v>163</v>
      </c>
      <c r="D1275" s="5" t="s">
        <v>2441</v>
      </c>
      <c r="E1275" s="5" t="s">
        <v>2442</v>
      </c>
      <c r="F1275" s="5"/>
      <c r="G1275" s="5" t="str">
        <f aca="false">IF(EXACT(D1275,E1275),"Tetap","Diubah")</f>
        <v>Diubah</v>
      </c>
      <c r="H1275" s="5" t="s">
        <v>167</v>
      </c>
    </row>
    <row r="1276" customFormat="false" ht="23.85" hidden="false" customHeight="false" outlineLevel="0" collapsed="false">
      <c r="A1276" s="5" t="n">
        <v>1275</v>
      </c>
      <c r="B1276" s="5" t="s">
        <v>2217</v>
      </c>
      <c r="C1276" s="5" t="s">
        <v>163</v>
      </c>
      <c r="D1276" s="5" t="s">
        <v>2443</v>
      </c>
      <c r="E1276" s="5" t="s">
        <v>2444</v>
      </c>
      <c r="F1276" s="5"/>
      <c r="G1276" s="5" t="str">
        <f aca="false">IF(EXACT(D1276,E1276),"Tetap","Diubah")</f>
        <v>Diubah</v>
      </c>
      <c r="H1276" s="5" t="s">
        <v>167</v>
      </c>
    </row>
    <row r="1277" customFormat="false" ht="23.85" hidden="false" customHeight="false" outlineLevel="0" collapsed="false">
      <c r="A1277" s="5" t="n">
        <v>1276</v>
      </c>
      <c r="B1277" s="5" t="s">
        <v>2217</v>
      </c>
      <c r="C1277" s="5" t="s">
        <v>175</v>
      </c>
      <c r="D1277" s="5" t="s">
        <v>2445</v>
      </c>
      <c r="E1277" s="5" t="s">
        <v>2446</v>
      </c>
      <c r="F1277" s="5"/>
      <c r="G1277" s="5" t="str">
        <f aca="false">IF(EXACT(D1277,E1277),"Tetap","Diubah")</f>
        <v>Diubah</v>
      </c>
      <c r="H1277" s="5" t="s">
        <v>167</v>
      </c>
    </row>
    <row r="1278" customFormat="false" ht="23.85" hidden="false" customHeight="false" outlineLevel="0" collapsed="false">
      <c r="A1278" s="5" t="n">
        <v>1277</v>
      </c>
      <c r="B1278" s="5" t="s">
        <v>2217</v>
      </c>
      <c r="C1278" s="5" t="s">
        <v>163</v>
      </c>
      <c r="D1278" s="5" t="s">
        <v>2447</v>
      </c>
      <c r="E1278" s="5" t="s">
        <v>2448</v>
      </c>
      <c r="F1278" s="5"/>
      <c r="G1278" s="5" t="str">
        <f aca="false">IF(EXACT(D1278,E1278),"Tetap","Diubah")</f>
        <v>Diubah</v>
      </c>
      <c r="H1278" s="5" t="s">
        <v>167</v>
      </c>
    </row>
    <row r="1279" customFormat="false" ht="23.85" hidden="false" customHeight="false" outlineLevel="0" collapsed="false">
      <c r="A1279" s="5" t="n">
        <v>1278</v>
      </c>
      <c r="B1279" s="5" t="s">
        <v>2217</v>
      </c>
      <c r="C1279" s="5" t="s">
        <v>163</v>
      </c>
      <c r="D1279" s="5" t="s">
        <v>2449</v>
      </c>
      <c r="E1279" s="5" t="s">
        <v>2450</v>
      </c>
      <c r="F1279" s="5"/>
      <c r="G1279" s="5" t="str">
        <f aca="false">IF(EXACT(D1279,E1279),"Tetap","Diubah")</f>
        <v>Diubah</v>
      </c>
      <c r="H1279" s="5" t="s">
        <v>167</v>
      </c>
    </row>
    <row r="1280" customFormat="false" ht="23.85" hidden="false" customHeight="false" outlineLevel="0" collapsed="false">
      <c r="A1280" s="5" t="n">
        <v>1279</v>
      </c>
      <c r="B1280" s="5" t="s">
        <v>2217</v>
      </c>
      <c r="C1280" s="5" t="s">
        <v>163</v>
      </c>
      <c r="D1280" s="5" t="s">
        <v>2451</v>
      </c>
      <c r="E1280" s="5" t="s">
        <v>2452</v>
      </c>
      <c r="F1280" s="5"/>
      <c r="G1280" s="5" t="str">
        <f aca="false">IF(EXACT(D1280,E1280),"Tetap","Diubah")</f>
        <v>Diubah</v>
      </c>
      <c r="H1280" s="5" t="s">
        <v>167</v>
      </c>
    </row>
    <row r="1281" customFormat="false" ht="23.85" hidden="false" customHeight="false" outlineLevel="0" collapsed="false">
      <c r="A1281" s="5" t="n">
        <v>1280</v>
      </c>
      <c r="B1281" s="5" t="s">
        <v>2217</v>
      </c>
      <c r="C1281" s="5" t="s">
        <v>163</v>
      </c>
      <c r="D1281" s="5" t="s">
        <v>2453</v>
      </c>
      <c r="E1281" s="5" t="s">
        <v>2454</v>
      </c>
      <c r="F1281" s="5"/>
      <c r="G1281" s="5" t="str">
        <f aca="false">IF(EXACT(D1281,E1281),"Tetap","Diubah")</f>
        <v>Diubah</v>
      </c>
      <c r="H1281" s="5" t="s">
        <v>167</v>
      </c>
    </row>
    <row r="1282" customFormat="false" ht="23.85" hidden="false" customHeight="false" outlineLevel="0" collapsed="false">
      <c r="A1282" s="5" t="n">
        <v>1281</v>
      </c>
      <c r="B1282" s="5" t="s">
        <v>2217</v>
      </c>
      <c r="C1282" s="5" t="s">
        <v>175</v>
      </c>
      <c r="D1282" s="5" t="s">
        <v>2455</v>
      </c>
      <c r="E1282" s="5" t="s">
        <v>2456</v>
      </c>
      <c r="F1282" s="5"/>
      <c r="G1282" s="5" t="str">
        <f aca="false">IF(EXACT(D1282,E1282),"Tetap","Diubah")</f>
        <v>Diubah</v>
      </c>
      <c r="H1282" s="5" t="s">
        <v>167</v>
      </c>
    </row>
    <row r="1283" customFormat="false" ht="23.85" hidden="false" customHeight="false" outlineLevel="0" collapsed="false">
      <c r="A1283" s="5" t="n">
        <v>1282</v>
      </c>
      <c r="B1283" s="5" t="s">
        <v>2217</v>
      </c>
      <c r="C1283" s="5" t="s">
        <v>163</v>
      </c>
      <c r="D1283" s="5" t="s">
        <v>2457</v>
      </c>
      <c r="E1283" s="5" t="s">
        <v>2458</v>
      </c>
      <c r="F1283" s="5"/>
      <c r="G1283" s="5" t="str">
        <f aca="false">IF(EXACT(D1283,E1283),"Tetap","Diubah")</f>
        <v>Diubah</v>
      </c>
      <c r="H1283" s="5" t="s">
        <v>167</v>
      </c>
    </row>
    <row r="1284" customFormat="false" ht="23.85" hidden="false" customHeight="false" outlineLevel="0" collapsed="false">
      <c r="A1284" s="5" t="n">
        <v>1283</v>
      </c>
      <c r="B1284" s="5" t="s">
        <v>2217</v>
      </c>
      <c r="C1284" s="5" t="s">
        <v>488</v>
      </c>
      <c r="D1284" s="5" t="s">
        <v>2459</v>
      </c>
      <c r="E1284" s="5" t="s">
        <v>2460</v>
      </c>
      <c r="F1284" s="5"/>
      <c r="G1284" s="5" t="str">
        <f aca="false">IF(EXACT(D1284,E1284),"Tetap","Diubah")</f>
        <v>Diubah</v>
      </c>
      <c r="H1284" s="5" t="s">
        <v>167</v>
      </c>
    </row>
    <row r="1285" customFormat="false" ht="23.85" hidden="false" customHeight="false" outlineLevel="0" collapsed="false">
      <c r="A1285" s="5" t="n">
        <v>1284</v>
      </c>
      <c r="B1285" s="5" t="s">
        <v>2217</v>
      </c>
      <c r="C1285" s="5" t="s">
        <v>163</v>
      </c>
      <c r="D1285" s="5" t="s">
        <v>2461</v>
      </c>
      <c r="E1285" s="5" t="s">
        <v>2462</v>
      </c>
      <c r="F1285" s="5"/>
      <c r="G1285" s="5" t="str">
        <f aca="false">IF(EXACT(D1285,E1285),"Tetap","Diubah")</f>
        <v>Diubah</v>
      </c>
      <c r="H1285" s="5" t="s">
        <v>167</v>
      </c>
    </row>
    <row r="1286" customFormat="false" ht="23.85" hidden="false" customHeight="false" outlineLevel="0" collapsed="false">
      <c r="A1286" s="5" t="n">
        <v>1285</v>
      </c>
      <c r="B1286" s="5" t="s">
        <v>2217</v>
      </c>
      <c r="C1286" s="5" t="s">
        <v>175</v>
      </c>
      <c r="D1286" s="5" t="s">
        <v>2463</v>
      </c>
      <c r="E1286" s="5" t="s">
        <v>2464</v>
      </c>
      <c r="F1286" s="5"/>
      <c r="G1286" s="5" t="str">
        <f aca="false">IF(EXACT(D1286,E1286),"Tetap","Diubah")</f>
        <v>Diubah</v>
      </c>
      <c r="H1286" s="5" t="s">
        <v>167</v>
      </c>
    </row>
    <row r="1287" customFormat="false" ht="23.85" hidden="false" customHeight="false" outlineLevel="0" collapsed="false">
      <c r="A1287" s="5" t="n">
        <v>1286</v>
      </c>
      <c r="B1287" s="5" t="s">
        <v>2217</v>
      </c>
      <c r="C1287" s="5" t="s">
        <v>175</v>
      </c>
      <c r="D1287" s="5" t="s">
        <v>2465</v>
      </c>
      <c r="E1287" s="5" t="s">
        <v>2466</v>
      </c>
      <c r="F1287" s="5"/>
      <c r="G1287" s="5" t="str">
        <f aca="false">IF(EXACT(D1287,E1287),"Tetap","Diubah")</f>
        <v>Diubah</v>
      </c>
      <c r="H1287" s="5" t="s">
        <v>167</v>
      </c>
    </row>
    <row r="1288" customFormat="false" ht="23.85" hidden="false" customHeight="false" outlineLevel="0" collapsed="false">
      <c r="A1288" s="5" t="n">
        <v>1287</v>
      </c>
      <c r="B1288" s="5" t="s">
        <v>2217</v>
      </c>
      <c r="C1288" s="5" t="s">
        <v>488</v>
      </c>
      <c r="D1288" s="5" t="s">
        <v>2467</v>
      </c>
      <c r="E1288" s="5" t="s">
        <v>2468</v>
      </c>
      <c r="F1288" s="5"/>
      <c r="G1288" s="5" t="str">
        <f aca="false">IF(EXACT(D1288,E1288),"Tetap","Diubah")</f>
        <v>Diubah</v>
      </c>
      <c r="H1288" s="5" t="s">
        <v>167</v>
      </c>
    </row>
    <row r="1289" customFormat="false" ht="23.85" hidden="false" customHeight="false" outlineLevel="0" collapsed="false">
      <c r="A1289" s="5" t="n">
        <v>1288</v>
      </c>
      <c r="B1289" s="5" t="s">
        <v>2217</v>
      </c>
      <c r="C1289" s="5" t="s">
        <v>175</v>
      </c>
      <c r="D1289" s="5" t="s">
        <v>2469</v>
      </c>
      <c r="E1289" s="5" t="s">
        <v>2470</v>
      </c>
      <c r="F1289" s="5"/>
      <c r="G1289" s="5" t="str">
        <f aca="false">IF(EXACT(D1289,E1289),"Tetap","Diubah")</f>
        <v>Diubah</v>
      </c>
      <c r="H1289" s="5" t="s">
        <v>167</v>
      </c>
    </row>
    <row r="1290" customFormat="false" ht="23.85" hidden="false" customHeight="false" outlineLevel="0" collapsed="false">
      <c r="A1290" s="5" t="n">
        <v>1289</v>
      </c>
      <c r="B1290" s="5" t="s">
        <v>2217</v>
      </c>
      <c r="C1290" s="5" t="s">
        <v>175</v>
      </c>
      <c r="D1290" s="5" t="s">
        <v>2471</v>
      </c>
      <c r="E1290" s="5" t="s">
        <v>2472</v>
      </c>
      <c r="F1290" s="5"/>
      <c r="G1290" s="5" t="str">
        <f aca="false">IF(EXACT(D1290,E1290),"Tetap","Diubah")</f>
        <v>Diubah</v>
      </c>
      <c r="H1290" s="5" t="s">
        <v>167</v>
      </c>
    </row>
    <row r="1291" customFormat="false" ht="23.85" hidden="false" customHeight="false" outlineLevel="0" collapsed="false">
      <c r="A1291" s="5" t="n">
        <v>1290</v>
      </c>
      <c r="B1291" s="5" t="s">
        <v>2217</v>
      </c>
      <c r="C1291" s="5" t="s">
        <v>175</v>
      </c>
      <c r="D1291" s="5" t="s">
        <v>2473</v>
      </c>
      <c r="E1291" s="5" t="s">
        <v>2474</v>
      </c>
      <c r="F1291" s="5"/>
      <c r="G1291" s="5" t="str">
        <f aca="false">IF(EXACT(D1291,E1291),"Tetap","Diubah")</f>
        <v>Diubah</v>
      </c>
      <c r="H1291" s="5" t="s">
        <v>167</v>
      </c>
    </row>
    <row r="1292" customFormat="false" ht="23.85" hidden="false" customHeight="false" outlineLevel="0" collapsed="false">
      <c r="A1292" s="5" t="n">
        <v>1291</v>
      </c>
      <c r="B1292" s="5" t="s">
        <v>2217</v>
      </c>
      <c r="C1292" s="5" t="s">
        <v>175</v>
      </c>
      <c r="D1292" s="5" t="s">
        <v>2475</v>
      </c>
      <c r="E1292" s="5" t="s">
        <v>2476</v>
      </c>
      <c r="F1292" s="5"/>
      <c r="G1292" s="5" t="str">
        <f aca="false">IF(EXACT(D1292,E1292),"Tetap","Diubah")</f>
        <v>Diubah</v>
      </c>
      <c r="H1292" s="5" t="s">
        <v>167</v>
      </c>
    </row>
    <row r="1293" customFormat="false" ht="23.85" hidden="false" customHeight="false" outlineLevel="0" collapsed="false">
      <c r="A1293" s="5" t="n">
        <v>1292</v>
      </c>
      <c r="B1293" s="5" t="s">
        <v>2217</v>
      </c>
      <c r="C1293" s="5" t="s">
        <v>488</v>
      </c>
      <c r="D1293" s="5" t="s">
        <v>2477</v>
      </c>
      <c r="E1293" s="5" t="s">
        <v>2478</v>
      </c>
      <c r="F1293" s="5"/>
      <c r="G1293" s="5" t="str">
        <f aca="false">IF(EXACT(D1293,E1293),"Tetap","Diubah")</f>
        <v>Diubah</v>
      </c>
      <c r="H1293" s="5" t="s">
        <v>167</v>
      </c>
    </row>
    <row r="1294" customFormat="false" ht="23.85" hidden="false" customHeight="false" outlineLevel="0" collapsed="false">
      <c r="A1294" s="5" t="n">
        <v>1293</v>
      </c>
      <c r="B1294" s="5" t="s">
        <v>2217</v>
      </c>
      <c r="C1294" s="5" t="s">
        <v>175</v>
      </c>
      <c r="D1294" s="5" t="s">
        <v>2479</v>
      </c>
      <c r="E1294" s="5" t="s">
        <v>2480</v>
      </c>
      <c r="F1294" s="5"/>
      <c r="G1294" s="5" t="str">
        <f aca="false">IF(EXACT(D1294,E1294),"Tetap","Diubah")</f>
        <v>Diubah</v>
      </c>
      <c r="H1294" s="5" t="s">
        <v>167</v>
      </c>
    </row>
    <row r="1295" customFormat="false" ht="23.85" hidden="false" customHeight="false" outlineLevel="0" collapsed="false">
      <c r="A1295" s="5" t="n">
        <v>1294</v>
      </c>
      <c r="B1295" s="5" t="s">
        <v>2217</v>
      </c>
      <c r="C1295" s="5" t="s">
        <v>175</v>
      </c>
      <c r="D1295" s="5" t="s">
        <v>2481</v>
      </c>
      <c r="E1295" s="5" t="s">
        <v>2482</v>
      </c>
      <c r="F1295" s="5"/>
      <c r="G1295" s="5" t="str">
        <f aca="false">IF(EXACT(D1295,E1295),"Tetap","Diubah")</f>
        <v>Diubah</v>
      </c>
      <c r="H1295" s="5" t="s">
        <v>167</v>
      </c>
    </row>
    <row r="1296" customFormat="false" ht="23.85" hidden="false" customHeight="false" outlineLevel="0" collapsed="false">
      <c r="A1296" s="5" t="n">
        <v>1295</v>
      </c>
      <c r="B1296" s="5" t="s">
        <v>2217</v>
      </c>
      <c r="C1296" s="5" t="s">
        <v>163</v>
      </c>
      <c r="D1296" s="5" t="s">
        <v>2483</v>
      </c>
      <c r="E1296" s="5" t="s">
        <v>2484</v>
      </c>
      <c r="F1296" s="5"/>
      <c r="G1296" s="5" t="str">
        <f aca="false">IF(EXACT(D1296,E1296),"Tetap","Diubah")</f>
        <v>Diubah</v>
      </c>
      <c r="H1296" s="5" t="s">
        <v>167</v>
      </c>
    </row>
    <row r="1297" customFormat="false" ht="23.85" hidden="false" customHeight="false" outlineLevel="0" collapsed="false">
      <c r="A1297" s="5" t="n">
        <v>1296</v>
      </c>
      <c r="B1297" s="5" t="s">
        <v>2217</v>
      </c>
      <c r="C1297" s="5" t="s">
        <v>163</v>
      </c>
      <c r="D1297" s="5" t="s">
        <v>2485</v>
      </c>
      <c r="E1297" s="5" t="s">
        <v>2486</v>
      </c>
      <c r="F1297" s="5"/>
      <c r="G1297" s="5" t="str">
        <f aca="false">IF(EXACT(D1297,E1297),"Tetap","Diubah")</f>
        <v>Diubah</v>
      </c>
      <c r="H1297" s="5" t="s">
        <v>167</v>
      </c>
    </row>
    <row r="1298" customFormat="false" ht="23.85" hidden="false" customHeight="false" outlineLevel="0" collapsed="false">
      <c r="A1298" s="5" t="n">
        <v>1297</v>
      </c>
      <c r="B1298" s="5" t="s">
        <v>2217</v>
      </c>
      <c r="C1298" s="5" t="s">
        <v>163</v>
      </c>
      <c r="D1298" s="5" t="s">
        <v>2487</v>
      </c>
      <c r="E1298" s="5" t="s">
        <v>2488</v>
      </c>
      <c r="F1298" s="5"/>
      <c r="G1298" s="5" t="str">
        <f aca="false">IF(EXACT(D1298,E1298),"Tetap","Diubah")</f>
        <v>Diubah</v>
      </c>
      <c r="H1298" s="5" t="s">
        <v>167</v>
      </c>
    </row>
    <row r="1299" customFormat="false" ht="23.85" hidden="false" customHeight="false" outlineLevel="0" collapsed="false">
      <c r="A1299" s="5" t="n">
        <v>1298</v>
      </c>
      <c r="B1299" s="5" t="s">
        <v>2217</v>
      </c>
      <c r="C1299" s="5" t="s">
        <v>163</v>
      </c>
      <c r="D1299" s="5" t="s">
        <v>2489</v>
      </c>
      <c r="E1299" s="5" t="s">
        <v>2490</v>
      </c>
      <c r="F1299" s="5"/>
      <c r="G1299" s="5" t="str">
        <f aca="false">IF(EXACT(D1299,E1299),"Tetap","Diubah")</f>
        <v>Diubah</v>
      </c>
      <c r="H1299" s="5" t="s">
        <v>167</v>
      </c>
    </row>
    <row r="1300" customFormat="false" ht="23.85" hidden="false" customHeight="false" outlineLevel="0" collapsed="false">
      <c r="A1300" s="5" t="n">
        <v>1299</v>
      </c>
      <c r="B1300" s="5" t="s">
        <v>2217</v>
      </c>
      <c r="C1300" s="5" t="s">
        <v>175</v>
      </c>
      <c r="D1300" s="5" t="s">
        <v>2491</v>
      </c>
      <c r="E1300" s="5" t="s">
        <v>2492</v>
      </c>
      <c r="F1300" s="5"/>
      <c r="G1300" s="5" t="str">
        <f aca="false">IF(EXACT(D1300,E1300),"Tetap","Diubah")</f>
        <v>Diubah</v>
      </c>
      <c r="H1300" s="5" t="s">
        <v>167</v>
      </c>
    </row>
    <row r="1301" customFormat="false" ht="23.85" hidden="false" customHeight="false" outlineLevel="0" collapsed="false">
      <c r="A1301" s="5" t="n">
        <v>1300</v>
      </c>
      <c r="B1301" s="5" t="s">
        <v>2217</v>
      </c>
      <c r="C1301" s="5" t="s">
        <v>175</v>
      </c>
      <c r="D1301" s="5" t="s">
        <v>2493</v>
      </c>
      <c r="E1301" s="5" t="s">
        <v>2494</v>
      </c>
      <c r="F1301" s="5"/>
      <c r="G1301" s="5" t="str">
        <f aca="false">IF(EXACT(D1301,E1301),"Tetap","Diubah")</f>
        <v>Diubah</v>
      </c>
      <c r="H1301" s="5" t="s">
        <v>167</v>
      </c>
    </row>
    <row r="1302" customFormat="false" ht="23.85" hidden="false" customHeight="false" outlineLevel="0" collapsed="false">
      <c r="A1302" s="5" t="n">
        <v>1301</v>
      </c>
      <c r="B1302" s="5" t="s">
        <v>2217</v>
      </c>
      <c r="C1302" s="5" t="s">
        <v>163</v>
      </c>
      <c r="D1302" s="5" t="s">
        <v>2495</v>
      </c>
      <c r="E1302" s="5" t="s">
        <v>2496</v>
      </c>
      <c r="F1302" s="5"/>
      <c r="G1302" s="5" t="str">
        <f aca="false">IF(EXACT(D1302,E1302),"Tetap","Diubah")</f>
        <v>Diubah</v>
      </c>
      <c r="H1302" s="5" t="s">
        <v>167</v>
      </c>
    </row>
    <row r="1303" customFormat="false" ht="23.85" hidden="false" customHeight="false" outlineLevel="0" collapsed="false">
      <c r="A1303" s="5" t="n">
        <v>1302</v>
      </c>
      <c r="B1303" s="5" t="s">
        <v>2217</v>
      </c>
      <c r="C1303" s="5" t="s">
        <v>488</v>
      </c>
      <c r="D1303" s="5" t="s">
        <v>2497</v>
      </c>
      <c r="E1303" s="5" t="s">
        <v>677</v>
      </c>
      <c r="F1303" s="5"/>
      <c r="G1303" s="5" t="str">
        <f aca="false">IF(EXACT(D1303,E1303),"Tetap","Diubah")</f>
        <v>Diubah</v>
      </c>
      <c r="H1303" s="5" t="s">
        <v>167</v>
      </c>
    </row>
    <row r="1304" customFormat="false" ht="23.85" hidden="false" customHeight="false" outlineLevel="0" collapsed="false">
      <c r="A1304" s="5" t="n">
        <v>1303</v>
      </c>
      <c r="B1304" s="5" t="s">
        <v>2217</v>
      </c>
      <c r="C1304" s="5" t="s">
        <v>163</v>
      </c>
      <c r="D1304" s="5" t="s">
        <v>2498</v>
      </c>
      <c r="E1304" s="5" t="s">
        <v>2499</v>
      </c>
      <c r="F1304" s="5"/>
      <c r="G1304" s="5" t="str">
        <f aca="false">IF(EXACT(D1304,E1304),"Tetap","Diubah")</f>
        <v>Diubah</v>
      </c>
      <c r="H1304" s="5" t="s">
        <v>167</v>
      </c>
    </row>
    <row r="1305" customFormat="false" ht="23.85" hidden="false" customHeight="false" outlineLevel="0" collapsed="false">
      <c r="A1305" s="5" t="n">
        <v>1304</v>
      </c>
      <c r="B1305" s="5" t="s">
        <v>2217</v>
      </c>
      <c r="C1305" s="5" t="s">
        <v>175</v>
      </c>
      <c r="D1305" s="5" t="s">
        <v>2500</v>
      </c>
      <c r="E1305" s="5" t="s">
        <v>2501</v>
      </c>
      <c r="F1305" s="5"/>
      <c r="G1305" s="5" t="str">
        <f aca="false">IF(EXACT(D1305,E1305),"Tetap","Diubah")</f>
        <v>Diubah</v>
      </c>
      <c r="H1305" s="5" t="s">
        <v>167</v>
      </c>
    </row>
    <row r="1306" customFormat="false" ht="23.85" hidden="false" customHeight="false" outlineLevel="0" collapsed="false">
      <c r="A1306" s="5" t="n">
        <v>1305</v>
      </c>
      <c r="B1306" s="5" t="s">
        <v>2217</v>
      </c>
      <c r="C1306" s="5" t="s">
        <v>163</v>
      </c>
      <c r="D1306" s="5" t="s">
        <v>2502</v>
      </c>
      <c r="E1306" s="5" t="s">
        <v>2503</v>
      </c>
      <c r="F1306" s="5"/>
      <c r="G1306" s="5" t="str">
        <f aca="false">IF(EXACT(D1306,E1306),"Tetap","Diubah")</f>
        <v>Diubah</v>
      </c>
      <c r="H1306" s="5" t="s">
        <v>167</v>
      </c>
    </row>
    <row r="1307" customFormat="false" ht="23.85" hidden="false" customHeight="false" outlineLevel="0" collapsed="false">
      <c r="A1307" s="5" t="n">
        <v>1306</v>
      </c>
      <c r="B1307" s="5" t="s">
        <v>2217</v>
      </c>
      <c r="C1307" s="5" t="s">
        <v>175</v>
      </c>
      <c r="D1307" s="5" t="s">
        <v>2504</v>
      </c>
      <c r="E1307" s="5" t="s">
        <v>2504</v>
      </c>
      <c r="F1307" s="5"/>
      <c r="G1307" s="5" t="str">
        <f aca="false">IF(EXACT(D1307,E1307),"Tetap","Diubah")</f>
        <v>Tetap</v>
      </c>
      <c r="H1307" s="5" t="s">
        <v>167</v>
      </c>
    </row>
    <row r="1308" customFormat="false" ht="23.85" hidden="false" customHeight="false" outlineLevel="0" collapsed="false">
      <c r="A1308" s="5" t="n">
        <v>1307</v>
      </c>
      <c r="B1308" s="5" t="s">
        <v>2217</v>
      </c>
      <c r="C1308" s="5" t="s">
        <v>175</v>
      </c>
      <c r="D1308" s="5" t="s">
        <v>2505</v>
      </c>
      <c r="E1308" s="5" t="s">
        <v>2506</v>
      </c>
      <c r="F1308" s="5"/>
      <c r="G1308" s="5" t="str">
        <f aca="false">IF(EXACT(D1308,E1308),"Tetap","Diubah")</f>
        <v>Diubah</v>
      </c>
      <c r="H1308" s="5" t="s">
        <v>167</v>
      </c>
    </row>
    <row r="1309" customFormat="false" ht="23.85" hidden="false" customHeight="false" outlineLevel="0" collapsed="false">
      <c r="A1309" s="5" t="n">
        <v>1308</v>
      </c>
      <c r="B1309" s="5" t="s">
        <v>2217</v>
      </c>
      <c r="C1309" s="5" t="s">
        <v>175</v>
      </c>
      <c r="D1309" s="5" t="s">
        <v>2507</v>
      </c>
      <c r="E1309" s="5" t="s">
        <v>2508</v>
      </c>
      <c r="F1309" s="5"/>
      <c r="G1309" s="5" t="str">
        <f aca="false">IF(EXACT(D1309,E1309),"Tetap","Diubah")</f>
        <v>Diubah</v>
      </c>
      <c r="H1309" s="5" t="s">
        <v>167</v>
      </c>
    </row>
    <row r="1310" customFormat="false" ht="23.85" hidden="false" customHeight="false" outlineLevel="0" collapsed="false">
      <c r="A1310" s="5" t="n">
        <v>1309</v>
      </c>
      <c r="B1310" s="5" t="s">
        <v>2217</v>
      </c>
      <c r="C1310" s="5" t="s">
        <v>163</v>
      </c>
      <c r="D1310" s="5" t="s">
        <v>2509</v>
      </c>
      <c r="E1310" s="5" t="s">
        <v>2418</v>
      </c>
      <c r="F1310" s="5"/>
      <c r="G1310" s="5" t="str">
        <f aca="false">IF(EXACT(D1310,E1310),"Tetap","Diubah")</f>
        <v>Diubah</v>
      </c>
      <c r="H1310" s="5" t="s">
        <v>167</v>
      </c>
    </row>
    <row r="1311" customFormat="false" ht="23.85" hidden="false" customHeight="false" outlineLevel="0" collapsed="false">
      <c r="A1311" s="5" t="n">
        <v>1310</v>
      </c>
      <c r="B1311" s="5" t="s">
        <v>2217</v>
      </c>
      <c r="C1311" s="5" t="s">
        <v>175</v>
      </c>
      <c r="D1311" s="5" t="s">
        <v>2510</v>
      </c>
      <c r="E1311" s="5" t="s">
        <v>2511</v>
      </c>
      <c r="F1311" s="5"/>
      <c r="G1311" s="5" t="str">
        <f aca="false">IF(EXACT(D1311,E1311),"Tetap","Diubah")</f>
        <v>Diubah</v>
      </c>
      <c r="H1311" s="5" t="s">
        <v>167</v>
      </c>
    </row>
    <row r="1312" customFormat="false" ht="23.85" hidden="false" customHeight="false" outlineLevel="0" collapsed="false">
      <c r="A1312" s="5" t="n">
        <v>1311</v>
      </c>
      <c r="B1312" s="5" t="s">
        <v>2217</v>
      </c>
      <c r="C1312" s="5" t="s">
        <v>488</v>
      </c>
      <c r="D1312" s="5" t="s">
        <v>2512</v>
      </c>
      <c r="E1312" s="5" t="s">
        <v>2512</v>
      </c>
      <c r="F1312" s="5"/>
      <c r="G1312" s="5" t="str">
        <f aca="false">IF(EXACT(D1312,E1312),"Tetap","Diubah")</f>
        <v>Tetap</v>
      </c>
      <c r="H1312" s="5" t="s">
        <v>167</v>
      </c>
    </row>
    <row r="1313" customFormat="false" ht="23.85" hidden="false" customHeight="false" outlineLevel="0" collapsed="false">
      <c r="A1313" s="5" t="n">
        <v>1312</v>
      </c>
      <c r="B1313" s="5" t="s">
        <v>2217</v>
      </c>
      <c r="C1313" s="5" t="s">
        <v>488</v>
      </c>
      <c r="D1313" s="5" t="s">
        <v>2513</v>
      </c>
      <c r="E1313" s="5" t="s">
        <v>2513</v>
      </c>
      <c r="F1313" s="5"/>
      <c r="G1313" s="5" t="str">
        <f aca="false">IF(EXACT(D1313,E1313),"Tetap","Diubah")</f>
        <v>Tetap</v>
      </c>
      <c r="H1313" s="5" t="s">
        <v>167</v>
      </c>
    </row>
    <row r="1314" customFormat="false" ht="23.85" hidden="false" customHeight="false" outlineLevel="0" collapsed="false">
      <c r="A1314" s="5" t="n">
        <v>1313</v>
      </c>
      <c r="B1314" s="5" t="s">
        <v>2217</v>
      </c>
      <c r="C1314" s="5" t="s">
        <v>488</v>
      </c>
      <c r="D1314" s="5" t="s">
        <v>2514</v>
      </c>
      <c r="E1314" s="5" t="s">
        <v>2515</v>
      </c>
      <c r="F1314" s="5"/>
      <c r="G1314" s="5" t="str">
        <f aca="false">IF(EXACT(D1314,E1314),"Tetap","Diubah")</f>
        <v>Diubah</v>
      </c>
      <c r="H1314" s="5" t="s">
        <v>167</v>
      </c>
    </row>
    <row r="1315" customFormat="false" ht="23.85" hidden="false" customHeight="false" outlineLevel="0" collapsed="false">
      <c r="A1315" s="5" t="n">
        <v>1314</v>
      </c>
      <c r="B1315" s="5" t="s">
        <v>2217</v>
      </c>
      <c r="C1315" s="5" t="s">
        <v>175</v>
      </c>
      <c r="D1315" s="5" t="s">
        <v>2516</v>
      </c>
      <c r="E1315" s="5" t="s">
        <v>2517</v>
      </c>
      <c r="F1315" s="5"/>
      <c r="G1315" s="5" t="str">
        <f aca="false">IF(EXACT(D1315,E1315),"Tetap","Diubah")</f>
        <v>Diubah</v>
      </c>
      <c r="H1315" s="5" t="s">
        <v>167</v>
      </c>
    </row>
    <row r="1316" customFormat="false" ht="23.85" hidden="false" customHeight="false" outlineLevel="0" collapsed="false">
      <c r="A1316" s="5" t="n">
        <v>1315</v>
      </c>
      <c r="B1316" s="5" t="s">
        <v>2217</v>
      </c>
      <c r="C1316" s="5" t="s">
        <v>163</v>
      </c>
      <c r="D1316" s="5" t="s">
        <v>2518</v>
      </c>
      <c r="E1316" s="5" t="s">
        <v>2519</v>
      </c>
      <c r="F1316" s="5"/>
      <c r="G1316" s="5" t="str">
        <f aca="false">IF(EXACT(D1316,E1316),"Tetap","Diubah")</f>
        <v>Diubah</v>
      </c>
      <c r="H1316" s="5" t="s">
        <v>167</v>
      </c>
    </row>
    <row r="1317" customFormat="false" ht="23.85" hidden="false" customHeight="false" outlineLevel="0" collapsed="false">
      <c r="A1317" s="5" t="n">
        <v>1316</v>
      </c>
      <c r="B1317" s="5" t="s">
        <v>2217</v>
      </c>
      <c r="C1317" s="5" t="s">
        <v>488</v>
      </c>
      <c r="D1317" s="5" t="s">
        <v>2520</v>
      </c>
      <c r="E1317" s="5" t="s">
        <v>2520</v>
      </c>
      <c r="F1317" s="5"/>
      <c r="G1317" s="5" t="str">
        <f aca="false">IF(EXACT(D1317,E1317),"Tetap","Diubah")</f>
        <v>Tetap</v>
      </c>
      <c r="H1317" s="5" t="s">
        <v>167</v>
      </c>
    </row>
    <row r="1318" customFormat="false" ht="23.85" hidden="false" customHeight="false" outlineLevel="0" collapsed="false">
      <c r="A1318" s="5" t="n">
        <v>1317</v>
      </c>
      <c r="B1318" s="5" t="s">
        <v>2217</v>
      </c>
      <c r="C1318" s="5" t="s">
        <v>488</v>
      </c>
      <c r="D1318" s="5" t="s">
        <v>2521</v>
      </c>
      <c r="E1318" s="5" t="s">
        <v>2522</v>
      </c>
      <c r="F1318" s="5"/>
      <c r="G1318" s="5" t="str">
        <f aca="false">IF(EXACT(D1318,E1318),"Tetap","Diubah")</f>
        <v>Diubah</v>
      </c>
      <c r="H1318" s="5" t="s">
        <v>167</v>
      </c>
    </row>
    <row r="1319" customFormat="false" ht="23.85" hidden="false" customHeight="false" outlineLevel="0" collapsed="false">
      <c r="A1319" s="5" t="n">
        <v>1318</v>
      </c>
      <c r="B1319" s="5" t="s">
        <v>2217</v>
      </c>
      <c r="C1319" s="5" t="s">
        <v>163</v>
      </c>
      <c r="D1319" s="5" t="s">
        <v>2523</v>
      </c>
      <c r="E1319" s="5" t="s">
        <v>2524</v>
      </c>
      <c r="F1319" s="5"/>
      <c r="G1319" s="5" t="str">
        <f aca="false">IF(EXACT(D1319,E1319),"Tetap","Diubah")</f>
        <v>Diubah</v>
      </c>
      <c r="H1319" s="5" t="s">
        <v>167</v>
      </c>
    </row>
    <row r="1320" customFormat="false" ht="23.85" hidden="false" customHeight="false" outlineLevel="0" collapsed="false">
      <c r="A1320" s="5" t="n">
        <v>1319</v>
      </c>
      <c r="B1320" s="5" t="s">
        <v>2217</v>
      </c>
      <c r="C1320" s="5" t="s">
        <v>163</v>
      </c>
      <c r="D1320" s="5" t="s">
        <v>2525</v>
      </c>
      <c r="E1320" s="5" t="s">
        <v>2526</v>
      </c>
      <c r="F1320" s="5"/>
      <c r="G1320" s="5" t="str">
        <f aca="false">IF(EXACT(D1320,E1320),"Tetap","Diubah")</f>
        <v>Diubah</v>
      </c>
      <c r="H1320" s="5" t="s">
        <v>167</v>
      </c>
    </row>
    <row r="1321" customFormat="false" ht="23.85" hidden="false" customHeight="false" outlineLevel="0" collapsed="false">
      <c r="A1321" s="5" t="n">
        <v>1320</v>
      </c>
      <c r="B1321" s="5" t="s">
        <v>2217</v>
      </c>
      <c r="C1321" s="5" t="s">
        <v>485</v>
      </c>
      <c r="D1321" s="5" t="s">
        <v>2527</v>
      </c>
      <c r="E1321" s="5" t="s">
        <v>2528</v>
      </c>
      <c r="F1321" s="5"/>
      <c r="G1321" s="5" t="str">
        <f aca="false">IF(EXACT(D1321,E1321),"Tetap","Diubah")</f>
        <v>Diubah</v>
      </c>
      <c r="H1321" s="5" t="s">
        <v>167</v>
      </c>
    </row>
    <row r="1322" customFormat="false" ht="23.85" hidden="false" customHeight="false" outlineLevel="0" collapsed="false">
      <c r="A1322" s="5" t="n">
        <v>1321</v>
      </c>
      <c r="B1322" s="5" t="s">
        <v>2217</v>
      </c>
      <c r="C1322" s="5" t="s">
        <v>175</v>
      </c>
      <c r="D1322" s="5" t="s">
        <v>2529</v>
      </c>
      <c r="E1322" s="5" t="s">
        <v>2530</v>
      </c>
      <c r="F1322" s="5"/>
      <c r="G1322" s="5" t="str">
        <f aca="false">IF(EXACT(D1322,E1322),"Tetap","Diubah")</f>
        <v>Diubah</v>
      </c>
      <c r="H1322" s="5" t="s">
        <v>167</v>
      </c>
    </row>
    <row r="1323" customFormat="false" ht="23.85" hidden="false" customHeight="false" outlineLevel="0" collapsed="false">
      <c r="A1323" s="5" t="n">
        <v>1322</v>
      </c>
      <c r="B1323" s="5" t="s">
        <v>2217</v>
      </c>
      <c r="C1323" s="5" t="s">
        <v>163</v>
      </c>
      <c r="D1323" s="5" t="s">
        <v>2531</v>
      </c>
      <c r="E1323" s="5" t="s">
        <v>2532</v>
      </c>
      <c r="F1323" s="5"/>
      <c r="G1323" s="5" t="str">
        <f aca="false">IF(EXACT(D1323,E1323),"Tetap","Diubah")</f>
        <v>Diubah</v>
      </c>
      <c r="H1323" s="5" t="s">
        <v>167</v>
      </c>
    </row>
    <row r="1324" customFormat="false" ht="23.85" hidden="false" customHeight="false" outlineLevel="0" collapsed="false">
      <c r="A1324" s="5" t="n">
        <v>1323</v>
      </c>
      <c r="B1324" s="5" t="s">
        <v>2217</v>
      </c>
      <c r="C1324" s="5" t="s">
        <v>175</v>
      </c>
      <c r="D1324" s="5" t="s">
        <v>2533</v>
      </c>
      <c r="E1324" s="5" t="s">
        <v>2533</v>
      </c>
      <c r="F1324" s="5"/>
      <c r="G1324" s="5" t="str">
        <f aca="false">IF(EXACT(D1324,E1324),"Tetap","Diubah")</f>
        <v>Tetap</v>
      </c>
      <c r="H1324" s="5" t="s">
        <v>167</v>
      </c>
    </row>
    <row r="1325" customFormat="false" ht="23.85" hidden="false" customHeight="false" outlineLevel="0" collapsed="false">
      <c r="A1325" s="5" t="n">
        <v>1324</v>
      </c>
      <c r="B1325" s="5" t="s">
        <v>2217</v>
      </c>
      <c r="C1325" s="5" t="s">
        <v>163</v>
      </c>
      <c r="D1325" s="5" t="s">
        <v>2534</v>
      </c>
      <c r="E1325" s="5" t="s">
        <v>2535</v>
      </c>
      <c r="F1325" s="5"/>
      <c r="G1325" s="5" t="str">
        <f aca="false">IF(EXACT(D1325,E1325),"Tetap","Diubah")</f>
        <v>Diubah</v>
      </c>
      <c r="H1325" s="5" t="s">
        <v>167</v>
      </c>
    </row>
    <row r="1326" customFormat="false" ht="23.85" hidden="false" customHeight="false" outlineLevel="0" collapsed="false">
      <c r="A1326" s="5" t="n">
        <v>1325</v>
      </c>
      <c r="B1326" s="5" t="s">
        <v>2217</v>
      </c>
      <c r="C1326" s="5" t="s">
        <v>163</v>
      </c>
      <c r="D1326" s="5" t="s">
        <v>2536</v>
      </c>
      <c r="E1326" s="5" t="s">
        <v>2537</v>
      </c>
      <c r="F1326" s="5"/>
      <c r="G1326" s="5" t="str">
        <f aca="false">IF(EXACT(D1326,E1326),"Tetap","Diubah")</f>
        <v>Diubah</v>
      </c>
      <c r="H1326" s="5" t="s">
        <v>167</v>
      </c>
    </row>
    <row r="1327" customFormat="false" ht="23.85" hidden="false" customHeight="false" outlineLevel="0" collapsed="false">
      <c r="A1327" s="5" t="n">
        <v>1326</v>
      </c>
      <c r="B1327" s="5" t="s">
        <v>2217</v>
      </c>
      <c r="C1327" s="5" t="s">
        <v>488</v>
      </c>
      <c r="D1327" s="5" t="s">
        <v>2538</v>
      </c>
      <c r="E1327" s="5" t="s">
        <v>2538</v>
      </c>
      <c r="F1327" s="5"/>
      <c r="G1327" s="5" t="str">
        <f aca="false">IF(EXACT(D1327,E1327),"Tetap","Diubah")</f>
        <v>Tetap</v>
      </c>
      <c r="H1327" s="5" t="s">
        <v>167</v>
      </c>
    </row>
    <row r="1328" customFormat="false" ht="23.85" hidden="false" customHeight="false" outlineLevel="0" collapsed="false">
      <c r="A1328" s="5" t="n">
        <v>1327</v>
      </c>
      <c r="B1328" s="5" t="s">
        <v>2217</v>
      </c>
      <c r="C1328" s="5" t="s">
        <v>488</v>
      </c>
      <c r="D1328" s="5" t="s">
        <v>2539</v>
      </c>
      <c r="E1328" s="5" t="s">
        <v>2540</v>
      </c>
      <c r="F1328" s="5"/>
      <c r="G1328" s="5" t="str">
        <f aca="false">IF(EXACT(D1328,E1328),"Tetap","Diubah")</f>
        <v>Diubah</v>
      </c>
      <c r="H1328" s="5" t="s">
        <v>167</v>
      </c>
    </row>
    <row r="1329" customFormat="false" ht="23.85" hidden="false" customHeight="false" outlineLevel="0" collapsed="false">
      <c r="A1329" s="5" t="n">
        <v>1328</v>
      </c>
      <c r="B1329" s="5" t="s">
        <v>2217</v>
      </c>
      <c r="C1329" s="5" t="s">
        <v>485</v>
      </c>
      <c r="D1329" s="5" t="s">
        <v>2541</v>
      </c>
      <c r="E1329" s="5" t="s">
        <v>2542</v>
      </c>
      <c r="F1329" s="5" t="s">
        <v>2543</v>
      </c>
      <c r="G1329" s="5" t="str">
        <f aca="false">IF(EXACT(D1329,E1329),"Tetap","Diubah")</f>
        <v>Diubah</v>
      </c>
      <c r="H1329" s="5" t="s">
        <v>167</v>
      </c>
    </row>
    <row r="1330" customFormat="false" ht="23.85" hidden="false" customHeight="false" outlineLevel="0" collapsed="false">
      <c r="A1330" s="5" t="n">
        <v>1329</v>
      </c>
      <c r="B1330" s="5" t="s">
        <v>2217</v>
      </c>
      <c r="C1330" s="5" t="s">
        <v>20</v>
      </c>
      <c r="D1330" s="5" t="s">
        <v>437</v>
      </c>
      <c r="E1330" s="5" t="s">
        <v>437</v>
      </c>
      <c r="F1330" s="5" t="s">
        <v>28</v>
      </c>
      <c r="G1330" s="5" t="str">
        <f aca="false">IF(EXACT(D1330,E1330),"Tetap","Diubah")</f>
        <v>Tetap</v>
      </c>
      <c r="H1330" s="5" t="s">
        <v>167</v>
      </c>
    </row>
    <row r="1331" customFormat="false" ht="23.85" hidden="false" customHeight="false" outlineLevel="0" collapsed="false">
      <c r="A1331" s="5" t="n">
        <v>1330</v>
      </c>
      <c r="B1331" s="5" t="s">
        <v>2217</v>
      </c>
      <c r="C1331" s="5" t="s">
        <v>485</v>
      </c>
      <c r="D1331" s="5" t="s">
        <v>2544</v>
      </c>
      <c r="E1331" s="5" t="s">
        <v>2545</v>
      </c>
      <c r="F1331" s="5"/>
      <c r="G1331" s="5" t="str">
        <f aca="false">IF(EXACT(D1331,E1331),"Tetap","Diubah")</f>
        <v>Diubah</v>
      </c>
      <c r="H1331" s="5" t="s">
        <v>167</v>
      </c>
    </row>
    <row r="1332" customFormat="false" ht="23.85" hidden="false" customHeight="false" outlineLevel="0" collapsed="false">
      <c r="A1332" s="5" t="n">
        <v>1331</v>
      </c>
      <c r="B1332" s="5" t="s">
        <v>2217</v>
      </c>
      <c r="C1332" s="5" t="s">
        <v>485</v>
      </c>
      <c r="D1332" s="5" t="s">
        <v>2546</v>
      </c>
      <c r="E1332" s="5" t="s">
        <v>2547</v>
      </c>
      <c r="F1332" s="5"/>
      <c r="G1332" s="5" t="str">
        <f aca="false">IF(EXACT(D1332,E1332),"Tetap","Diubah")</f>
        <v>Diubah</v>
      </c>
      <c r="H1332" s="5" t="s">
        <v>167</v>
      </c>
    </row>
    <row r="1333" customFormat="false" ht="23.85" hidden="false" customHeight="false" outlineLevel="0" collapsed="false">
      <c r="A1333" s="5" t="n">
        <v>1332</v>
      </c>
      <c r="B1333" s="5" t="s">
        <v>2217</v>
      </c>
      <c r="C1333" s="5" t="s">
        <v>20</v>
      </c>
      <c r="D1333" s="5" t="s">
        <v>2548</v>
      </c>
      <c r="E1333" s="5" t="s">
        <v>2549</v>
      </c>
      <c r="F1333" s="5"/>
      <c r="G1333" s="5" t="str">
        <f aca="false">IF(EXACT(D1333,E1333),"Tetap","Diubah")</f>
        <v>Diubah</v>
      </c>
      <c r="H1333" s="5" t="s">
        <v>167</v>
      </c>
    </row>
    <row r="1334" customFormat="false" ht="23.85" hidden="false" customHeight="false" outlineLevel="0" collapsed="false">
      <c r="A1334" s="5" t="n">
        <v>1333</v>
      </c>
      <c r="B1334" s="5" t="s">
        <v>2217</v>
      </c>
      <c r="C1334" s="5" t="s">
        <v>485</v>
      </c>
      <c r="D1334" s="5" t="s">
        <v>2550</v>
      </c>
      <c r="E1334" s="5" t="s">
        <v>2547</v>
      </c>
      <c r="F1334" s="5"/>
      <c r="G1334" s="5" t="str">
        <f aca="false">IF(EXACT(D1334,E1334),"Tetap","Diubah")</f>
        <v>Diubah</v>
      </c>
      <c r="H1334" s="5" t="s">
        <v>167</v>
      </c>
    </row>
    <row r="1335" customFormat="false" ht="23.85" hidden="false" customHeight="false" outlineLevel="0" collapsed="false">
      <c r="A1335" s="5" t="n">
        <v>1334</v>
      </c>
      <c r="B1335" s="5" t="s">
        <v>2217</v>
      </c>
      <c r="C1335" s="5" t="s">
        <v>153</v>
      </c>
      <c r="D1335" s="5" t="s">
        <v>2551</v>
      </c>
      <c r="E1335" s="5" t="s">
        <v>2552</v>
      </c>
      <c r="F1335" s="5"/>
      <c r="G1335" s="5" t="str">
        <f aca="false">IF(EXACT(D1335,E1335),"Tetap","Diubah")</f>
        <v>Diubah</v>
      </c>
      <c r="H1335" s="5" t="s">
        <v>167</v>
      </c>
    </row>
    <row r="1336" customFormat="false" ht="23.85" hidden="false" customHeight="false" outlineLevel="0" collapsed="false">
      <c r="A1336" s="5" t="n">
        <v>1335</v>
      </c>
      <c r="B1336" s="5" t="s">
        <v>2217</v>
      </c>
      <c r="C1336" s="5" t="s">
        <v>153</v>
      </c>
      <c r="D1336" s="5" t="s">
        <v>2553</v>
      </c>
      <c r="E1336" s="5" t="s">
        <v>2554</v>
      </c>
      <c r="F1336" s="5"/>
      <c r="G1336" s="5" t="str">
        <f aca="false">IF(EXACT(D1336,E1336),"Tetap","Diubah")</f>
        <v>Diubah</v>
      </c>
      <c r="H1336" s="5" t="s">
        <v>167</v>
      </c>
    </row>
    <row r="1337" customFormat="false" ht="23.85" hidden="false" customHeight="false" outlineLevel="0" collapsed="false">
      <c r="A1337" s="5" t="n">
        <v>1336</v>
      </c>
      <c r="B1337" s="5" t="s">
        <v>2217</v>
      </c>
      <c r="C1337" s="5" t="s">
        <v>156</v>
      </c>
      <c r="D1337" s="5" t="s">
        <v>2555</v>
      </c>
      <c r="E1337" s="5" t="s">
        <v>2556</v>
      </c>
      <c r="F1337" s="5"/>
      <c r="G1337" s="5" t="str">
        <f aca="false">IF(EXACT(D1337,E1337),"Tetap","Diubah")</f>
        <v>Diubah</v>
      </c>
      <c r="H1337" s="5" t="s">
        <v>167</v>
      </c>
    </row>
    <row r="1338" customFormat="false" ht="23.85" hidden="false" customHeight="false" outlineLevel="0" collapsed="false">
      <c r="A1338" s="5" t="n">
        <v>1337</v>
      </c>
      <c r="B1338" s="5" t="s">
        <v>2217</v>
      </c>
      <c r="C1338" s="5" t="s">
        <v>175</v>
      </c>
      <c r="D1338" s="5" t="s">
        <v>2557</v>
      </c>
      <c r="E1338" s="5" t="s">
        <v>2558</v>
      </c>
      <c r="F1338" s="5"/>
      <c r="G1338" s="5" t="str">
        <f aca="false">IF(EXACT(D1338,E1338),"Tetap","Diubah")</f>
        <v>Diubah</v>
      </c>
      <c r="H1338" s="5" t="s">
        <v>167</v>
      </c>
    </row>
    <row r="1339" customFormat="false" ht="23.85" hidden="false" customHeight="false" outlineLevel="0" collapsed="false">
      <c r="A1339" s="5" t="n">
        <v>1338</v>
      </c>
      <c r="B1339" s="5" t="s">
        <v>2217</v>
      </c>
      <c r="C1339" s="5" t="s">
        <v>156</v>
      </c>
      <c r="D1339" s="5" t="s">
        <v>2559</v>
      </c>
      <c r="E1339" s="5" t="s">
        <v>2560</v>
      </c>
      <c r="F1339" s="5"/>
      <c r="G1339" s="5" t="str">
        <f aca="false">IF(EXACT(D1339,E1339),"Tetap","Diubah")</f>
        <v>Diubah</v>
      </c>
      <c r="H1339" s="5" t="s">
        <v>167</v>
      </c>
    </row>
    <row r="1340" customFormat="false" ht="23.85" hidden="false" customHeight="false" outlineLevel="0" collapsed="false">
      <c r="A1340" s="5" t="n">
        <v>1339</v>
      </c>
      <c r="B1340" s="5" t="s">
        <v>2217</v>
      </c>
      <c r="C1340" s="5" t="s">
        <v>163</v>
      </c>
      <c r="D1340" s="5" t="s">
        <v>2561</v>
      </c>
      <c r="E1340" s="5" t="s">
        <v>2562</v>
      </c>
      <c r="F1340" s="5"/>
      <c r="G1340" s="5" t="str">
        <f aca="false">IF(EXACT(D1340,E1340),"Tetap","Diubah")</f>
        <v>Diubah</v>
      </c>
      <c r="H1340" s="5" t="s">
        <v>167</v>
      </c>
    </row>
    <row r="1341" customFormat="false" ht="23.85" hidden="false" customHeight="false" outlineLevel="0" collapsed="false">
      <c r="A1341" s="5" t="n">
        <v>1340</v>
      </c>
      <c r="B1341" s="5" t="s">
        <v>2217</v>
      </c>
      <c r="C1341" s="5" t="s">
        <v>153</v>
      </c>
      <c r="D1341" s="5" t="s">
        <v>2563</v>
      </c>
      <c r="E1341" s="5" t="s">
        <v>2564</v>
      </c>
      <c r="F1341" s="5"/>
      <c r="G1341" s="5" t="str">
        <f aca="false">IF(EXACT(D1341,E1341),"Tetap","Diubah")</f>
        <v>Diubah</v>
      </c>
      <c r="H1341" s="5" t="s">
        <v>167</v>
      </c>
    </row>
    <row r="1342" customFormat="false" ht="23.85" hidden="false" customHeight="false" outlineLevel="0" collapsed="false">
      <c r="A1342" s="5" t="n">
        <v>1341</v>
      </c>
      <c r="B1342" s="5" t="s">
        <v>2217</v>
      </c>
      <c r="C1342" s="5" t="s">
        <v>153</v>
      </c>
      <c r="D1342" s="5" t="s">
        <v>2565</v>
      </c>
      <c r="E1342" s="5" t="s">
        <v>2566</v>
      </c>
      <c r="F1342" s="5"/>
      <c r="G1342" s="5" t="str">
        <f aca="false">IF(EXACT(D1342,E1342),"Tetap","Diubah")</f>
        <v>Diubah</v>
      </c>
      <c r="H1342" s="5" t="s">
        <v>167</v>
      </c>
    </row>
    <row r="1343" customFormat="false" ht="23.85" hidden="false" customHeight="false" outlineLevel="0" collapsed="false">
      <c r="A1343" s="5" t="n">
        <v>1342</v>
      </c>
      <c r="B1343" s="5" t="s">
        <v>2217</v>
      </c>
      <c r="C1343" s="5" t="s">
        <v>20</v>
      </c>
      <c r="D1343" s="5" t="s">
        <v>2567</v>
      </c>
      <c r="E1343" s="5" t="s">
        <v>2568</v>
      </c>
      <c r="F1343" s="5"/>
      <c r="G1343" s="5" t="str">
        <f aca="false">IF(EXACT(D1343,E1343),"Tetap","Diubah")</f>
        <v>Diubah</v>
      </c>
      <c r="H1343" s="5" t="s">
        <v>167</v>
      </c>
    </row>
    <row r="1344" customFormat="false" ht="23.85" hidden="false" customHeight="false" outlineLevel="0" collapsed="false">
      <c r="A1344" s="5" t="n">
        <v>1343</v>
      </c>
      <c r="B1344" s="5" t="s">
        <v>2217</v>
      </c>
      <c r="C1344" s="5" t="s">
        <v>153</v>
      </c>
      <c r="D1344" s="5" t="s">
        <v>2569</v>
      </c>
      <c r="E1344" s="5" t="s">
        <v>2566</v>
      </c>
      <c r="F1344" s="5"/>
      <c r="G1344" s="5" t="str">
        <f aca="false">IF(EXACT(D1344,E1344),"Tetap","Diubah")</f>
        <v>Diubah</v>
      </c>
      <c r="H1344" s="5" t="s">
        <v>167</v>
      </c>
    </row>
    <row r="1345" customFormat="false" ht="23.85" hidden="false" customHeight="false" outlineLevel="0" collapsed="false">
      <c r="A1345" s="5" t="n">
        <v>1344</v>
      </c>
      <c r="B1345" s="5" t="s">
        <v>2217</v>
      </c>
      <c r="C1345" s="5" t="s">
        <v>153</v>
      </c>
      <c r="D1345" s="5" t="s">
        <v>2570</v>
      </c>
      <c r="E1345" s="5" t="s">
        <v>2571</v>
      </c>
      <c r="F1345" s="5"/>
      <c r="G1345" s="5" t="str">
        <f aca="false">IF(EXACT(D1345,E1345),"Tetap","Diubah")</f>
        <v>Diubah</v>
      </c>
      <c r="H1345" s="5" t="s">
        <v>167</v>
      </c>
    </row>
    <row r="1346" customFormat="false" ht="23.85" hidden="false" customHeight="false" outlineLevel="0" collapsed="false">
      <c r="A1346" s="5" t="n">
        <v>1345</v>
      </c>
      <c r="B1346" s="5" t="s">
        <v>2217</v>
      </c>
      <c r="C1346" s="5" t="s">
        <v>153</v>
      </c>
      <c r="D1346" s="5" t="s">
        <v>2572</v>
      </c>
      <c r="E1346" s="5" t="s">
        <v>2573</v>
      </c>
      <c r="F1346" s="5"/>
      <c r="G1346" s="5" t="str">
        <f aca="false">IF(EXACT(D1346,E1346),"Tetap","Diubah")</f>
        <v>Diubah</v>
      </c>
      <c r="H1346" s="5" t="s">
        <v>167</v>
      </c>
    </row>
    <row r="1347" customFormat="false" ht="23.85" hidden="false" customHeight="false" outlineLevel="0" collapsed="false">
      <c r="A1347" s="5" t="n">
        <v>1346</v>
      </c>
      <c r="B1347" s="5" t="s">
        <v>2217</v>
      </c>
      <c r="C1347" s="5" t="s">
        <v>20</v>
      </c>
      <c r="D1347" s="5" t="s">
        <v>24</v>
      </c>
      <c r="E1347" s="5" t="s">
        <v>25</v>
      </c>
      <c r="F1347" s="5"/>
      <c r="G1347" s="5" t="str">
        <f aca="false">IF(EXACT(D1347,E1347),"Tetap","Diubah")</f>
        <v>Diubah</v>
      </c>
      <c r="H1347" s="5" t="s">
        <v>167</v>
      </c>
    </row>
    <row r="1348" customFormat="false" ht="15" hidden="false" customHeight="false" outlineLevel="0" collapsed="false">
      <c r="A1348" s="5" t="n">
        <v>1347</v>
      </c>
      <c r="B1348" s="5" t="s">
        <v>2574</v>
      </c>
      <c r="C1348" s="5" t="s">
        <v>159</v>
      </c>
      <c r="D1348" s="5" t="s">
        <v>2575</v>
      </c>
      <c r="E1348" s="5" t="s">
        <v>2576</v>
      </c>
      <c r="F1348" s="5"/>
      <c r="G1348" s="5" t="str">
        <f aca="false">IF(EXACT(D1348,E1348),"Tetap","Diubah")</f>
        <v>Diubah</v>
      </c>
      <c r="H1348" s="5" t="s">
        <v>23</v>
      </c>
    </row>
    <row r="1349" customFormat="false" ht="15" hidden="false" customHeight="false" outlineLevel="0" collapsed="false">
      <c r="A1349" s="5" t="n">
        <v>1348</v>
      </c>
      <c r="B1349" s="5" t="s">
        <v>2574</v>
      </c>
      <c r="C1349" s="5" t="s">
        <v>2577</v>
      </c>
      <c r="D1349" s="5" t="s">
        <v>2578</v>
      </c>
      <c r="E1349" s="5" t="s">
        <v>2579</v>
      </c>
      <c r="F1349" s="5"/>
      <c r="G1349" s="5" t="str">
        <f aca="false">IF(EXACT(D1349,E1349),"Tetap","Diubah")</f>
        <v>Diubah</v>
      </c>
      <c r="H1349" s="5" t="s">
        <v>23</v>
      </c>
    </row>
    <row r="1350" customFormat="false" ht="15" hidden="false" customHeight="false" outlineLevel="0" collapsed="false">
      <c r="A1350" s="5" t="n">
        <v>1349</v>
      </c>
      <c r="B1350" s="5" t="s">
        <v>2574</v>
      </c>
      <c r="C1350" s="5" t="s">
        <v>45</v>
      </c>
      <c r="D1350" s="5" t="s">
        <v>2580</v>
      </c>
      <c r="E1350" s="5" t="s">
        <v>2581</v>
      </c>
      <c r="F1350" s="5"/>
      <c r="G1350" s="5" t="str">
        <f aca="false">IF(EXACT(D1350,E1350),"Tetap","Diubah")</f>
        <v>Diubah</v>
      </c>
      <c r="H1350" s="5" t="s">
        <v>23</v>
      </c>
    </row>
    <row r="1351" customFormat="false" ht="15" hidden="false" customHeight="false" outlineLevel="0" collapsed="false">
      <c r="A1351" s="5" t="n">
        <v>1350</v>
      </c>
      <c r="B1351" s="5" t="s">
        <v>2574</v>
      </c>
      <c r="C1351" s="5" t="s">
        <v>283</v>
      </c>
      <c r="D1351" s="5" t="s">
        <v>2582</v>
      </c>
      <c r="E1351" s="5" t="s">
        <v>2583</v>
      </c>
      <c r="F1351" s="5"/>
      <c r="G1351" s="5" t="str">
        <f aca="false">IF(EXACT(D1351,E1351),"Tetap","Diubah")</f>
        <v>Diubah</v>
      </c>
      <c r="H1351" s="5" t="s">
        <v>23</v>
      </c>
    </row>
    <row r="1352" customFormat="false" ht="15" hidden="false" customHeight="false" outlineLevel="0" collapsed="false">
      <c r="A1352" s="5" t="n">
        <v>1351</v>
      </c>
      <c r="B1352" s="5" t="s">
        <v>2574</v>
      </c>
      <c r="C1352" s="5" t="s">
        <v>159</v>
      </c>
      <c r="D1352" s="5" t="s">
        <v>2584</v>
      </c>
      <c r="E1352" s="5" t="s">
        <v>2585</v>
      </c>
      <c r="F1352" s="5"/>
      <c r="G1352" s="5" t="str">
        <f aca="false">IF(EXACT(D1352,E1352),"Tetap","Diubah")</f>
        <v>Diubah</v>
      </c>
      <c r="H1352" s="5" t="s">
        <v>23</v>
      </c>
    </row>
    <row r="1353" customFormat="false" ht="15" hidden="false" customHeight="false" outlineLevel="0" collapsed="false">
      <c r="A1353" s="5" t="n">
        <v>1352</v>
      </c>
      <c r="B1353" s="5" t="s">
        <v>2574</v>
      </c>
      <c r="C1353" s="5" t="s">
        <v>130</v>
      </c>
      <c r="D1353" s="5" t="s">
        <v>2586</v>
      </c>
      <c r="E1353" s="5" t="s">
        <v>2587</v>
      </c>
      <c r="F1353" s="5"/>
      <c r="G1353" s="5" t="str">
        <f aca="false">IF(EXACT(D1353,E1353),"Tetap","Diubah")</f>
        <v>Diubah</v>
      </c>
      <c r="H1353" s="5" t="s">
        <v>23</v>
      </c>
    </row>
    <row r="1354" customFormat="false" ht="15" hidden="false" customHeight="false" outlineLevel="0" collapsed="false">
      <c r="A1354" s="5" t="n">
        <v>1353</v>
      </c>
      <c r="B1354" s="5" t="s">
        <v>2574</v>
      </c>
      <c r="C1354" s="5" t="s">
        <v>130</v>
      </c>
      <c r="D1354" s="5" t="s">
        <v>2588</v>
      </c>
      <c r="E1354" s="5" t="s">
        <v>2589</v>
      </c>
      <c r="F1354" s="5"/>
      <c r="G1354" s="5" t="str">
        <f aca="false">IF(EXACT(D1354,E1354),"Tetap","Diubah")</f>
        <v>Diubah</v>
      </c>
      <c r="H1354" s="5" t="s">
        <v>23</v>
      </c>
    </row>
    <row r="1355" customFormat="false" ht="15" hidden="false" customHeight="false" outlineLevel="0" collapsed="false">
      <c r="A1355" s="5" t="n">
        <v>1354</v>
      </c>
      <c r="B1355" s="5" t="s">
        <v>2574</v>
      </c>
      <c r="C1355" s="5" t="s">
        <v>54</v>
      </c>
      <c r="D1355" s="5" t="s">
        <v>234</v>
      </c>
      <c r="E1355" s="5" t="s">
        <v>234</v>
      </c>
      <c r="F1355" s="5" t="s">
        <v>2590</v>
      </c>
      <c r="G1355" s="5" t="str">
        <f aca="false">IF(EXACT(D1355,E1355),"Tetap","Diubah")</f>
        <v>Tetap</v>
      </c>
      <c r="H1355" s="5" t="s">
        <v>23</v>
      </c>
    </row>
    <row r="1356" customFormat="false" ht="15" hidden="false" customHeight="false" outlineLevel="0" collapsed="false">
      <c r="A1356" s="5" t="n">
        <v>1355</v>
      </c>
      <c r="B1356" s="5" t="s">
        <v>2574</v>
      </c>
      <c r="C1356" s="5" t="s">
        <v>45</v>
      </c>
      <c r="D1356" s="5" t="s">
        <v>2591</v>
      </c>
      <c r="E1356" s="5" t="s">
        <v>2592</v>
      </c>
      <c r="F1356" s="5"/>
      <c r="G1356" s="5" t="str">
        <f aca="false">IF(EXACT(D1356,E1356),"Tetap","Diubah")</f>
        <v>Diubah</v>
      </c>
      <c r="H1356" s="5" t="s">
        <v>23</v>
      </c>
    </row>
    <row r="1357" customFormat="false" ht="15" hidden="false" customHeight="false" outlineLevel="0" collapsed="false">
      <c r="A1357" s="5" t="n">
        <v>1356</v>
      </c>
      <c r="B1357" s="5" t="s">
        <v>2574</v>
      </c>
      <c r="C1357" s="5" t="s">
        <v>71</v>
      </c>
      <c r="D1357" s="5" t="s">
        <v>2593</v>
      </c>
      <c r="E1357" s="5" t="s">
        <v>2594</v>
      </c>
      <c r="F1357" s="5"/>
      <c r="G1357" s="5" t="str">
        <f aca="false">IF(EXACT(D1357,E1357),"Tetap","Diubah")</f>
        <v>Diubah</v>
      </c>
      <c r="H1357" s="5" t="s">
        <v>23</v>
      </c>
    </row>
    <row r="1358" customFormat="false" ht="15" hidden="false" customHeight="false" outlineLevel="0" collapsed="false">
      <c r="A1358" s="5" t="n">
        <v>1357</v>
      </c>
      <c r="B1358" s="5" t="s">
        <v>2574</v>
      </c>
      <c r="C1358" s="5" t="s">
        <v>20</v>
      </c>
      <c r="D1358" s="5" t="s">
        <v>462</v>
      </c>
      <c r="E1358" s="5" t="s">
        <v>462</v>
      </c>
      <c r="F1358" s="5" t="s">
        <v>28</v>
      </c>
      <c r="G1358" s="5" t="str">
        <f aca="false">IF(EXACT(D1358,E1358),"Tetap","Diubah")</f>
        <v>Tetap</v>
      </c>
      <c r="H1358" s="5" t="s">
        <v>23</v>
      </c>
    </row>
    <row r="1359" customFormat="false" ht="15" hidden="false" customHeight="false" outlineLevel="0" collapsed="false">
      <c r="A1359" s="5" t="n">
        <v>1358</v>
      </c>
      <c r="B1359" s="5" t="s">
        <v>2574</v>
      </c>
      <c r="C1359" s="5" t="s">
        <v>20</v>
      </c>
      <c r="D1359" s="5" t="s">
        <v>2595</v>
      </c>
      <c r="E1359" s="5" t="s">
        <v>1767</v>
      </c>
      <c r="F1359" s="5"/>
      <c r="G1359" s="5" t="str">
        <f aca="false">IF(EXACT(D1359,E1359),"Tetap","Diubah")</f>
        <v>Diubah</v>
      </c>
      <c r="H1359" s="5" t="s">
        <v>23</v>
      </c>
    </row>
    <row r="1360" customFormat="false" ht="15" hidden="false" customHeight="false" outlineLevel="0" collapsed="false">
      <c r="A1360" s="5" t="n">
        <v>1359</v>
      </c>
      <c r="B1360" s="5" t="s">
        <v>2574</v>
      </c>
      <c r="C1360" s="5" t="s">
        <v>159</v>
      </c>
      <c r="D1360" s="5" t="s">
        <v>2596</v>
      </c>
      <c r="E1360" s="5" t="s">
        <v>2597</v>
      </c>
      <c r="F1360" s="5"/>
      <c r="G1360" s="5" t="str">
        <f aca="false">IF(EXACT(D1360,E1360),"Tetap","Diubah")</f>
        <v>Diubah</v>
      </c>
      <c r="H1360" s="5" t="s">
        <v>23</v>
      </c>
    </row>
    <row r="1361" customFormat="false" ht="15" hidden="false" customHeight="false" outlineLevel="0" collapsed="false">
      <c r="A1361" s="5" t="n">
        <v>1360</v>
      </c>
      <c r="B1361" s="5" t="s">
        <v>2574</v>
      </c>
      <c r="C1361" s="5" t="s">
        <v>283</v>
      </c>
      <c r="D1361" s="5" t="s">
        <v>2598</v>
      </c>
      <c r="E1361" s="5" t="s">
        <v>2598</v>
      </c>
      <c r="F1361" s="5" t="s">
        <v>28</v>
      </c>
      <c r="G1361" s="5" t="str">
        <f aca="false">IF(EXACT(D1361,E1361),"Tetap","Diubah")</f>
        <v>Tetap</v>
      </c>
      <c r="H1361" s="5" t="s">
        <v>23</v>
      </c>
    </row>
    <row r="1362" customFormat="false" ht="15" hidden="false" customHeight="false" outlineLevel="0" collapsed="false">
      <c r="A1362" s="5" t="n">
        <v>1361</v>
      </c>
      <c r="B1362" s="5" t="s">
        <v>2574</v>
      </c>
      <c r="C1362" s="5" t="s">
        <v>147</v>
      </c>
      <c r="D1362" s="5" t="s">
        <v>2599</v>
      </c>
      <c r="E1362" s="5" t="s">
        <v>943</v>
      </c>
      <c r="F1362" s="5"/>
      <c r="G1362" s="5" t="str">
        <f aca="false">IF(EXACT(D1362,E1362),"Tetap","Diubah")</f>
        <v>Diubah</v>
      </c>
      <c r="H1362" s="5" t="s">
        <v>23</v>
      </c>
    </row>
    <row r="1363" customFormat="false" ht="15" hidden="false" customHeight="false" outlineLevel="0" collapsed="false">
      <c r="A1363" s="5" t="n">
        <v>1362</v>
      </c>
      <c r="B1363" s="5" t="s">
        <v>2574</v>
      </c>
      <c r="C1363" s="5" t="s">
        <v>130</v>
      </c>
      <c r="D1363" s="5" t="s">
        <v>2600</v>
      </c>
      <c r="E1363" s="5" t="s">
        <v>2601</v>
      </c>
      <c r="F1363" s="5"/>
      <c r="G1363" s="5" t="str">
        <f aca="false">IF(EXACT(D1363,E1363),"Tetap","Diubah")</f>
        <v>Diubah</v>
      </c>
      <c r="H1363" s="5" t="s">
        <v>23</v>
      </c>
    </row>
    <row r="1364" customFormat="false" ht="23.85" hidden="false" customHeight="false" outlineLevel="0" collapsed="false">
      <c r="A1364" s="5" t="n">
        <v>1363</v>
      </c>
      <c r="B1364" s="5" t="s">
        <v>2574</v>
      </c>
      <c r="C1364" s="5" t="s">
        <v>130</v>
      </c>
      <c r="D1364" s="5" t="s">
        <v>2602</v>
      </c>
      <c r="E1364" s="5" t="s">
        <v>2603</v>
      </c>
      <c r="F1364" s="5"/>
      <c r="G1364" s="5" t="str">
        <f aca="false">IF(EXACT(D1364,E1364),"Tetap","Diubah")</f>
        <v>Diubah</v>
      </c>
      <c r="H1364" s="5" t="s">
        <v>23</v>
      </c>
    </row>
    <row r="1365" customFormat="false" ht="15" hidden="false" customHeight="false" outlineLevel="0" collapsed="false">
      <c r="A1365" s="5" t="n">
        <v>1364</v>
      </c>
      <c r="B1365" s="5" t="s">
        <v>2574</v>
      </c>
      <c r="C1365" s="5" t="s">
        <v>283</v>
      </c>
      <c r="D1365" s="5" t="s">
        <v>2604</v>
      </c>
      <c r="E1365" s="5" t="s">
        <v>2605</v>
      </c>
      <c r="F1365" s="5"/>
      <c r="G1365" s="5" t="str">
        <f aca="false">IF(EXACT(D1365,E1365),"Tetap","Diubah")</f>
        <v>Diubah</v>
      </c>
      <c r="H1365" s="5" t="s">
        <v>23</v>
      </c>
    </row>
    <row r="1366" customFormat="false" ht="15" hidden="false" customHeight="false" outlineLevel="0" collapsed="false">
      <c r="A1366" s="5" t="n">
        <v>1365</v>
      </c>
      <c r="B1366" s="5" t="s">
        <v>2574</v>
      </c>
      <c r="C1366" s="5" t="s">
        <v>45</v>
      </c>
      <c r="D1366" s="5" t="s">
        <v>2606</v>
      </c>
      <c r="E1366" s="5" t="s">
        <v>2607</v>
      </c>
      <c r="F1366" s="5"/>
      <c r="G1366" s="5" t="str">
        <f aca="false">IF(EXACT(D1366,E1366),"Tetap","Diubah")</f>
        <v>Diubah</v>
      </c>
      <c r="H1366" s="5" t="s">
        <v>23</v>
      </c>
    </row>
    <row r="1367" customFormat="false" ht="15" hidden="false" customHeight="false" outlineLevel="0" collapsed="false">
      <c r="A1367" s="5" t="n">
        <v>1366</v>
      </c>
      <c r="B1367" s="5" t="s">
        <v>2574</v>
      </c>
      <c r="C1367" s="5" t="s">
        <v>20</v>
      </c>
      <c r="D1367" s="5" t="s">
        <v>2608</v>
      </c>
      <c r="E1367" s="5" t="s">
        <v>2609</v>
      </c>
      <c r="F1367" s="5"/>
      <c r="G1367" s="5" t="str">
        <f aca="false">IF(EXACT(D1367,E1367),"Tetap","Diubah")</f>
        <v>Diubah</v>
      </c>
      <c r="H1367" s="5" t="s">
        <v>23</v>
      </c>
    </row>
    <row r="1368" customFormat="false" ht="15" hidden="false" customHeight="false" outlineLevel="0" collapsed="false">
      <c r="A1368" s="5" t="n">
        <v>1367</v>
      </c>
      <c r="B1368" s="5" t="s">
        <v>2574</v>
      </c>
      <c r="C1368" s="5" t="s">
        <v>283</v>
      </c>
      <c r="D1368" s="5" t="s">
        <v>2610</v>
      </c>
      <c r="E1368" s="5" t="s">
        <v>2610</v>
      </c>
      <c r="F1368" s="5" t="s">
        <v>28</v>
      </c>
      <c r="G1368" s="5" t="str">
        <f aca="false">IF(EXACT(D1368,E1368),"Tetap","Diubah")</f>
        <v>Tetap</v>
      </c>
      <c r="H1368" s="5" t="s">
        <v>23</v>
      </c>
    </row>
    <row r="1369" customFormat="false" ht="15" hidden="false" customHeight="false" outlineLevel="0" collapsed="false">
      <c r="A1369" s="5" t="n">
        <v>1368</v>
      </c>
      <c r="B1369" s="5" t="s">
        <v>2574</v>
      </c>
      <c r="C1369" s="5" t="s">
        <v>283</v>
      </c>
      <c r="D1369" s="5" t="s">
        <v>2611</v>
      </c>
      <c r="E1369" s="5" t="s">
        <v>2612</v>
      </c>
      <c r="F1369" s="5"/>
      <c r="G1369" s="5" t="str">
        <f aca="false">IF(EXACT(D1369,E1369),"Tetap","Diubah")</f>
        <v>Diubah</v>
      </c>
      <c r="H1369" s="5" t="s">
        <v>23</v>
      </c>
    </row>
    <row r="1370" customFormat="false" ht="15" hidden="false" customHeight="false" outlineLevel="0" collapsed="false">
      <c r="A1370" s="5" t="n">
        <v>1369</v>
      </c>
      <c r="B1370" s="5" t="s">
        <v>2574</v>
      </c>
      <c r="C1370" s="5" t="s">
        <v>71</v>
      </c>
      <c r="D1370" s="5" t="s">
        <v>2613</v>
      </c>
      <c r="E1370" s="5" t="s">
        <v>2614</v>
      </c>
      <c r="F1370" s="5"/>
      <c r="G1370" s="5" t="str">
        <f aca="false">IF(EXACT(D1370,E1370),"Tetap","Diubah")</f>
        <v>Diubah</v>
      </c>
      <c r="H1370" s="5" t="s">
        <v>23</v>
      </c>
    </row>
    <row r="1371" customFormat="false" ht="15" hidden="false" customHeight="false" outlineLevel="0" collapsed="false">
      <c r="A1371" s="5" t="n">
        <v>1370</v>
      </c>
      <c r="B1371" s="5" t="s">
        <v>2574</v>
      </c>
      <c r="C1371" s="5" t="s">
        <v>20</v>
      </c>
      <c r="D1371" s="5" t="s">
        <v>2596</v>
      </c>
      <c r="E1371" s="5" t="s">
        <v>2597</v>
      </c>
      <c r="F1371" s="5"/>
      <c r="G1371" s="5" t="str">
        <f aca="false">IF(EXACT(D1371,E1371),"Tetap","Diubah")</f>
        <v>Diubah</v>
      </c>
      <c r="H1371" s="5" t="s">
        <v>23</v>
      </c>
    </row>
    <row r="1372" customFormat="false" ht="23.85" hidden="false" customHeight="false" outlineLevel="0" collapsed="false">
      <c r="A1372" s="5" t="n">
        <v>1371</v>
      </c>
      <c r="B1372" s="5" t="s">
        <v>2574</v>
      </c>
      <c r="C1372" s="5" t="s">
        <v>175</v>
      </c>
      <c r="D1372" s="5" t="s">
        <v>2615</v>
      </c>
      <c r="E1372" s="5" t="s">
        <v>2616</v>
      </c>
      <c r="F1372" s="5"/>
      <c r="G1372" s="5" t="str">
        <f aca="false">IF(EXACT(D1372,E1372),"Tetap","Diubah")</f>
        <v>Diubah</v>
      </c>
      <c r="H1372" s="5" t="s">
        <v>167</v>
      </c>
    </row>
    <row r="1373" customFormat="false" ht="23.85" hidden="false" customHeight="false" outlineLevel="0" collapsed="false">
      <c r="A1373" s="5" t="n">
        <v>1372</v>
      </c>
      <c r="B1373" s="5" t="s">
        <v>2574</v>
      </c>
      <c r="C1373" s="5" t="s">
        <v>163</v>
      </c>
      <c r="D1373" s="5" t="s">
        <v>2617</v>
      </c>
      <c r="E1373" s="5" t="s">
        <v>2618</v>
      </c>
      <c r="F1373" s="5"/>
      <c r="G1373" s="5" t="str">
        <f aca="false">IF(EXACT(D1373,E1373),"Tetap","Diubah")</f>
        <v>Diubah</v>
      </c>
      <c r="H1373" s="5" t="s">
        <v>167</v>
      </c>
    </row>
    <row r="1374" customFormat="false" ht="15" hidden="false" customHeight="false" outlineLevel="0" collapsed="false">
      <c r="A1374" s="5" t="n">
        <v>1373</v>
      </c>
      <c r="B1374" s="5" t="s">
        <v>2619</v>
      </c>
      <c r="C1374" s="5" t="s">
        <v>112</v>
      </c>
      <c r="D1374" s="5" t="s">
        <v>2620</v>
      </c>
      <c r="E1374" s="5" t="s">
        <v>2621</v>
      </c>
      <c r="F1374" s="5"/>
      <c r="G1374" s="5" t="str">
        <f aca="false">IF(EXACT(D1374,E1374),"Tetap","Diubah")</f>
        <v>Diubah</v>
      </c>
      <c r="H1374" s="5" t="s">
        <v>23</v>
      </c>
    </row>
    <row r="1375" customFormat="false" ht="15" hidden="false" customHeight="false" outlineLevel="0" collapsed="false">
      <c r="A1375" s="5" t="n">
        <v>1374</v>
      </c>
      <c r="B1375" s="5" t="s">
        <v>2619</v>
      </c>
      <c r="C1375" s="5" t="s">
        <v>159</v>
      </c>
      <c r="D1375" s="5" t="s">
        <v>2622</v>
      </c>
      <c r="E1375" s="5" t="s">
        <v>2623</v>
      </c>
      <c r="F1375" s="5"/>
      <c r="G1375" s="5" t="str">
        <f aca="false">IF(EXACT(D1375,E1375),"Tetap","Diubah")</f>
        <v>Diubah</v>
      </c>
      <c r="H1375" s="5" t="s">
        <v>23</v>
      </c>
    </row>
    <row r="1376" customFormat="false" ht="15" hidden="false" customHeight="false" outlineLevel="0" collapsed="false">
      <c r="A1376" s="5" t="n">
        <v>1375</v>
      </c>
      <c r="B1376" s="5" t="s">
        <v>2619</v>
      </c>
      <c r="C1376" s="5" t="s">
        <v>130</v>
      </c>
      <c r="D1376" s="5" t="s">
        <v>2624</v>
      </c>
      <c r="E1376" s="5" t="s">
        <v>2625</v>
      </c>
      <c r="F1376" s="5"/>
      <c r="G1376" s="5" t="str">
        <f aca="false">IF(EXACT(D1376,E1376),"Tetap","Diubah")</f>
        <v>Diubah</v>
      </c>
      <c r="H1376" s="5" t="s">
        <v>23</v>
      </c>
    </row>
    <row r="1377" customFormat="false" ht="15" hidden="false" customHeight="false" outlineLevel="0" collapsed="false">
      <c r="A1377" s="5" t="n">
        <v>1376</v>
      </c>
      <c r="B1377" s="5" t="s">
        <v>2619</v>
      </c>
      <c r="C1377" s="5" t="s">
        <v>307</v>
      </c>
      <c r="D1377" s="5" t="s">
        <v>2626</v>
      </c>
      <c r="E1377" s="5" t="s">
        <v>2627</v>
      </c>
      <c r="F1377" s="5"/>
      <c r="G1377" s="5" t="str">
        <f aca="false">IF(EXACT(D1377,E1377),"Tetap","Diubah")</f>
        <v>Diubah</v>
      </c>
      <c r="H1377" s="5" t="s">
        <v>23</v>
      </c>
    </row>
    <row r="1378" customFormat="false" ht="15" hidden="false" customHeight="false" outlineLevel="0" collapsed="false">
      <c r="A1378" s="5" t="n">
        <v>1377</v>
      </c>
      <c r="B1378" s="5" t="s">
        <v>2619</v>
      </c>
      <c r="C1378" s="5" t="s">
        <v>307</v>
      </c>
      <c r="D1378" s="5" t="s">
        <v>2628</v>
      </c>
      <c r="E1378" s="5" t="s">
        <v>2629</v>
      </c>
      <c r="F1378" s="5"/>
      <c r="G1378" s="5" t="str">
        <f aca="false">IF(EXACT(D1378,E1378),"Tetap","Diubah")</f>
        <v>Diubah</v>
      </c>
      <c r="H1378" s="5" t="s">
        <v>23</v>
      </c>
    </row>
    <row r="1379" customFormat="false" ht="15" hidden="false" customHeight="false" outlineLevel="0" collapsed="false">
      <c r="A1379" s="5" t="n">
        <v>1378</v>
      </c>
      <c r="B1379" s="5" t="s">
        <v>2619</v>
      </c>
      <c r="C1379" s="5" t="s">
        <v>307</v>
      </c>
      <c r="D1379" s="5" t="s">
        <v>2630</v>
      </c>
      <c r="E1379" s="5" t="s">
        <v>2231</v>
      </c>
      <c r="F1379" s="5"/>
      <c r="G1379" s="5" t="str">
        <f aca="false">IF(EXACT(D1379,E1379),"Tetap","Diubah")</f>
        <v>Diubah</v>
      </c>
      <c r="H1379" s="5" t="s">
        <v>23</v>
      </c>
    </row>
    <row r="1380" customFormat="false" ht="15" hidden="false" customHeight="false" outlineLevel="0" collapsed="false">
      <c r="A1380" s="5" t="n">
        <v>1379</v>
      </c>
      <c r="B1380" s="5" t="s">
        <v>2619</v>
      </c>
      <c r="C1380" s="5" t="s">
        <v>307</v>
      </c>
      <c r="D1380" s="5" t="s">
        <v>2631</v>
      </c>
      <c r="E1380" s="5" t="s">
        <v>2632</v>
      </c>
      <c r="F1380" s="5"/>
      <c r="G1380" s="5" t="str">
        <f aca="false">IF(EXACT(D1380,E1380),"Tetap","Diubah")</f>
        <v>Diubah</v>
      </c>
      <c r="H1380" s="5" t="s">
        <v>23</v>
      </c>
    </row>
    <row r="1381" customFormat="false" ht="15" hidden="false" customHeight="false" outlineLevel="0" collapsed="false">
      <c r="A1381" s="5" t="n">
        <v>1380</v>
      </c>
      <c r="B1381" s="5" t="s">
        <v>2619</v>
      </c>
      <c r="C1381" s="5" t="s">
        <v>307</v>
      </c>
      <c r="D1381" s="5" t="s">
        <v>2633</v>
      </c>
      <c r="E1381" s="5" t="s">
        <v>2634</v>
      </c>
      <c r="F1381" s="5"/>
      <c r="G1381" s="5" t="str">
        <f aca="false">IF(EXACT(D1381,E1381),"Tetap","Diubah")</f>
        <v>Diubah</v>
      </c>
      <c r="H1381" s="5" t="s">
        <v>23</v>
      </c>
    </row>
    <row r="1382" customFormat="false" ht="15" hidden="false" customHeight="false" outlineLevel="0" collapsed="false">
      <c r="A1382" s="5" t="n">
        <v>1381</v>
      </c>
      <c r="B1382" s="5" t="s">
        <v>2619</v>
      </c>
      <c r="C1382" s="5" t="s">
        <v>307</v>
      </c>
      <c r="D1382" s="5" t="s">
        <v>2635</v>
      </c>
      <c r="E1382" s="5" t="s">
        <v>2636</v>
      </c>
      <c r="F1382" s="5"/>
      <c r="G1382" s="5" t="str">
        <f aca="false">IF(EXACT(D1382,E1382),"Tetap","Diubah")</f>
        <v>Diubah</v>
      </c>
      <c r="H1382" s="5" t="s">
        <v>23</v>
      </c>
    </row>
    <row r="1383" customFormat="false" ht="15" hidden="false" customHeight="false" outlineLevel="0" collapsed="false">
      <c r="A1383" s="5" t="n">
        <v>1382</v>
      </c>
      <c r="B1383" s="5" t="s">
        <v>2619</v>
      </c>
      <c r="C1383" s="5" t="s">
        <v>330</v>
      </c>
      <c r="D1383" s="5" t="s">
        <v>2637</v>
      </c>
      <c r="E1383" s="5" t="s">
        <v>2264</v>
      </c>
      <c r="F1383" s="5"/>
      <c r="G1383" s="5" t="str">
        <f aca="false">IF(EXACT(D1383,E1383),"Tetap","Diubah")</f>
        <v>Diubah</v>
      </c>
      <c r="H1383" s="5" t="s">
        <v>23</v>
      </c>
    </row>
    <row r="1384" customFormat="false" ht="15" hidden="false" customHeight="false" outlineLevel="0" collapsed="false">
      <c r="A1384" s="5" t="n">
        <v>1383</v>
      </c>
      <c r="B1384" s="5" t="s">
        <v>2619</v>
      </c>
      <c r="C1384" s="5" t="s">
        <v>330</v>
      </c>
      <c r="D1384" s="5" t="s">
        <v>2638</v>
      </c>
      <c r="E1384" s="5" t="s">
        <v>2264</v>
      </c>
      <c r="F1384" s="5"/>
      <c r="G1384" s="5" t="str">
        <f aca="false">IF(EXACT(D1384,E1384),"Tetap","Diubah")</f>
        <v>Diubah</v>
      </c>
      <c r="H1384" s="5" t="s">
        <v>23</v>
      </c>
    </row>
    <row r="1385" customFormat="false" ht="15" hidden="false" customHeight="false" outlineLevel="0" collapsed="false">
      <c r="A1385" s="5" t="n">
        <v>1384</v>
      </c>
      <c r="B1385" s="5" t="s">
        <v>2619</v>
      </c>
      <c r="C1385" s="5" t="s">
        <v>283</v>
      </c>
      <c r="D1385" s="5" t="s">
        <v>194</v>
      </c>
      <c r="E1385" s="5" t="s">
        <v>195</v>
      </c>
      <c r="F1385" s="5"/>
      <c r="G1385" s="5" t="str">
        <f aca="false">IF(EXACT(D1385,E1385),"Tetap","Diubah")</f>
        <v>Diubah</v>
      </c>
      <c r="H1385" s="5" t="s">
        <v>23</v>
      </c>
    </row>
    <row r="1386" customFormat="false" ht="15" hidden="false" customHeight="false" outlineLevel="0" collapsed="false">
      <c r="A1386" s="5" t="n">
        <v>1385</v>
      </c>
      <c r="B1386" s="5" t="s">
        <v>2619</v>
      </c>
      <c r="C1386" s="5" t="s">
        <v>283</v>
      </c>
      <c r="D1386" s="5" t="s">
        <v>2639</v>
      </c>
      <c r="E1386" s="5" t="s">
        <v>426</v>
      </c>
      <c r="F1386" s="5" t="s">
        <v>2640</v>
      </c>
      <c r="G1386" s="5" t="str">
        <f aca="false">IF(EXACT(D1386,E1386),"Tetap","Diubah")</f>
        <v>Diubah</v>
      </c>
      <c r="H1386" s="5" t="s">
        <v>23</v>
      </c>
    </row>
    <row r="1387" customFormat="false" ht="15" hidden="false" customHeight="false" outlineLevel="0" collapsed="false">
      <c r="A1387" s="5" t="n">
        <v>1386</v>
      </c>
      <c r="B1387" s="5" t="s">
        <v>2619</v>
      </c>
      <c r="C1387" s="5" t="s">
        <v>283</v>
      </c>
      <c r="D1387" s="5" t="s">
        <v>2641</v>
      </c>
      <c r="E1387" s="5" t="s">
        <v>426</v>
      </c>
      <c r="F1387" s="5" t="s">
        <v>2642</v>
      </c>
      <c r="G1387" s="5" t="str">
        <f aca="false">IF(EXACT(D1387,E1387),"Tetap","Diubah")</f>
        <v>Diubah</v>
      </c>
      <c r="H1387" s="5" t="s">
        <v>23</v>
      </c>
    </row>
    <row r="1388" customFormat="false" ht="15" hidden="false" customHeight="false" outlineLevel="0" collapsed="false">
      <c r="A1388" s="5" t="n">
        <v>1387</v>
      </c>
      <c r="B1388" s="5" t="s">
        <v>2619</v>
      </c>
      <c r="C1388" s="5" t="s">
        <v>130</v>
      </c>
      <c r="D1388" s="5" t="s">
        <v>2643</v>
      </c>
      <c r="E1388" s="5" t="s">
        <v>2644</v>
      </c>
      <c r="F1388" s="5"/>
      <c r="G1388" s="5" t="str">
        <f aca="false">IF(EXACT(D1388,E1388),"Tetap","Diubah")</f>
        <v>Diubah</v>
      </c>
      <c r="H1388" s="5" t="s">
        <v>23</v>
      </c>
    </row>
    <row r="1389" customFormat="false" ht="15" hidden="false" customHeight="false" outlineLevel="0" collapsed="false">
      <c r="A1389" s="5" t="n">
        <v>1388</v>
      </c>
      <c r="B1389" s="5" t="s">
        <v>2619</v>
      </c>
      <c r="C1389" s="5" t="s">
        <v>130</v>
      </c>
      <c r="D1389" s="5" t="s">
        <v>2645</v>
      </c>
      <c r="E1389" s="5" t="s">
        <v>426</v>
      </c>
      <c r="F1389" s="5" t="s">
        <v>2646</v>
      </c>
      <c r="G1389" s="5" t="str">
        <f aca="false">IF(EXACT(D1389,E1389),"Tetap","Diubah")</f>
        <v>Diubah</v>
      </c>
      <c r="H1389" s="5" t="s">
        <v>23</v>
      </c>
    </row>
    <row r="1390" customFormat="false" ht="15" hidden="false" customHeight="false" outlineLevel="0" collapsed="false">
      <c r="A1390" s="5" t="n">
        <v>1389</v>
      </c>
      <c r="B1390" s="5" t="s">
        <v>2619</v>
      </c>
      <c r="C1390" s="5" t="s">
        <v>159</v>
      </c>
      <c r="D1390" s="5" t="s">
        <v>2626</v>
      </c>
      <c r="E1390" s="5" t="s">
        <v>2627</v>
      </c>
      <c r="F1390" s="5"/>
      <c r="G1390" s="5" t="str">
        <f aca="false">IF(EXACT(D1390,E1390),"Tetap","Diubah")</f>
        <v>Diubah</v>
      </c>
      <c r="H1390" s="5" t="s">
        <v>23</v>
      </c>
    </row>
    <row r="1391" customFormat="false" ht="15" hidden="false" customHeight="false" outlineLevel="0" collapsed="false">
      <c r="A1391" s="5" t="n">
        <v>1390</v>
      </c>
      <c r="B1391" s="5" t="s">
        <v>2619</v>
      </c>
      <c r="C1391" s="5" t="s">
        <v>221</v>
      </c>
      <c r="D1391" s="5" t="s">
        <v>2647</v>
      </c>
      <c r="E1391" s="5" t="s">
        <v>2648</v>
      </c>
      <c r="F1391" s="5"/>
      <c r="G1391" s="5" t="str">
        <f aca="false">IF(EXACT(D1391,E1391),"Tetap","Diubah")</f>
        <v>Diubah</v>
      </c>
      <c r="H1391" s="5" t="s">
        <v>23</v>
      </c>
    </row>
    <row r="1392" customFormat="false" ht="15" hidden="false" customHeight="false" outlineLevel="0" collapsed="false">
      <c r="A1392" s="5" t="n">
        <v>1391</v>
      </c>
      <c r="B1392" s="5" t="s">
        <v>2619</v>
      </c>
      <c r="C1392" s="5" t="s">
        <v>54</v>
      </c>
      <c r="D1392" s="5" t="s">
        <v>2649</v>
      </c>
      <c r="E1392" s="5" t="s">
        <v>193</v>
      </c>
      <c r="F1392" s="5"/>
      <c r="G1392" s="5" t="str">
        <f aca="false">IF(EXACT(D1392,E1392),"Tetap","Diubah")</f>
        <v>Diubah</v>
      </c>
      <c r="H1392" s="5" t="s">
        <v>23</v>
      </c>
    </row>
    <row r="1393" customFormat="false" ht="15" hidden="false" customHeight="false" outlineLevel="0" collapsed="false">
      <c r="A1393" s="5" t="n">
        <v>1392</v>
      </c>
      <c r="B1393" s="5" t="s">
        <v>2619</v>
      </c>
      <c r="C1393" s="5" t="s">
        <v>54</v>
      </c>
      <c r="D1393" s="5" t="s">
        <v>2650</v>
      </c>
      <c r="E1393" s="5" t="s">
        <v>295</v>
      </c>
      <c r="F1393" s="5"/>
      <c r="G1393" s="5" t="str">
        <f aca="false">IF(EXACT(D1393,E1393),"Tetap","Diubah")</f>
        <v>Diubah</v>
      </c>
      <c r="H1393" s="5" t="s">
        <v>23</v>
      </c>
    </row>
    <row r="1394" customFormat="false" ht="15" hidden="false" customHeight="false" outlineLevel="0" collapsed="false">
      <c r="A1394" s="5" t="n">
        <v>1393</v>
      </c>
      <c r="B1394" s="5" t="s">
        <v>2619</v>
      </c>
      <c r="C1394" s="5" t="s">
        <v>90</v>
      </c>
      <c r="D1394" s="5" t="s">
        <v>2651</v>
      </c>
      <c r="E1394" s="5" t="s">
        <v>2652</v>
      </c>
      <c r="F1394" s="5"/>
      <c r="G1394" s="5" t="str">
        <f aca="false">IF(EXACT(D1394,E1394),"Tetap","Diubah")</f>
        <v>Diubah</v>
      </c>
      <c r="H1394" s="5" t="s">
        <v>23</v>
      </c>
    </row>
    <row r="1395" customFormat="false" ht="15" hidden="false" customHeight="false" outlineLevel="0" collapsed="false">
      <c r="A1395" s="5" t="n">
        <v>1394</v>
      </c>
      <c r="B1395" s="5" t="s">
        <v>2619</v>
      </c>
      <c r="C1395" s="5" t="s">
        <v>90</v>
      </c>
      <c r="D1395" s="5" t="s">
        <v>2653</v>
      </c>
      <c r="E1395" s="5" t="s">
        <v>2654</v>
      </c>
      <c r="F1395" s="5" t="s">
        <v>28</v>
      </c>
      <c r="G1395" s="5" t="str">
        <f aca="false">IF(EXACT(D1395,E1395),"Tetap","Diubah")</f>
        <v>Diubah</v>
      </c>
      <c r="H1395" s="5" t="s">
        <v>23</v>
      </c>
    </row>
    <row r="1396" customFormat="false" ht="15" hidden="false" customHeight="false" outlineLevel="0" collapsed="false">
      <c r="A1396" s="5" t="n">
        <v>1395</v>
      </c>
      <c r="B1396" s="5" t="s">
        <v>2619</v>
      </c>
      <c r="C1396" s="5" t="s">
        <v>90</v>
      </c>
      <c r="D1396" s="5" t="s">
        <v>2655</v>
      </c>
      <c r="E1396" s="5" t="s">
        <v>2656</v>
      </c>
      <c r="F1396" s="5" t="s">
        <v>2657</v>
      </c>
      <c r="G1396" s="5" t="str">
        <f aca="false">IF(EXACT(D1396,E1396),"Tetap","Diubah")</f>
        <v>Diubah</v>
      </c>
      <c r="H1396" s="5" t="s">
        <v>23</v>
      </c>
    </row>
    <row r="1397" customFormat="false" ht="15" hidden="false" customHeight="false" outlineLevel="0" collapsed="false">
      <c r="A1397" s="5" t="n">
        <v>1396</v>
      </c>
      <c r="B1397" s="5" t="s">
        <v>2619</v>
      </c>
      <c r="C1397" s="5" t="s">
        <v>90</v>
      </c>
      <c r="D1397" s="5" t="s">
        <v>2658</v>
      </c>
      <c r="E1397" s="5" t="s">
        <v>2659</v>
      </c>
      <c r="F1397" s="5"/>
      <c r="G1397" s="5" t="str">
        <f aca="false">IF(EXACT(D1397,E1397),"Tetap","Diubah")</f>
        <v>Diubah</v>
      </c>
      <c r="H1397" s="5" t="s">
        <v>23</v>
      </c>
    </row>
    <row r="1398" customFormat="false" ht="23.85" hidden="false" customHeight="false" outlineLevel="0" collapsed="false">
      <c r="A1398" s="5" t="n">
        <v>1397</v>
      </c>
      <c r="B1398" s="5" t="s">
        <v>2619</v>
      </c>
      <c r="C1398" s="5" t="s">
        <v>54</v>
      </c>
      <c r="D1398" s="5" t="s">
        <v>2660</v>
      </c>
      <c r="E1398" s="5" t="s">
        <v>2661</v>
      </c>
      <c r="F1398" s="5"/>
      <c r="G1398" s="5" t="str">
        <f aca="false">IF(EXACT(D1398,E1398),"Tetap","Diubah")</f>
        <v>Diubah</v>
      </c>
      <c r="H1398" s="5" t="s">
        <v>23</v>
      </c>
    </row>
    <row r="1399" customFormat="false" ht="15" hidden="false" customHeight="false" outlineLevel="0" collapsed="false">
      <c r="A1399" s="5" t="n">
        <v>1398</v>
      </c>
      <c r="B1399" s="5" t="s">
        <v>2619</v>
      </c>
      <c r="C1399" s="5" t="s">
        <v>20</v>
      </c>
      <c r="D1399" s="5" t="s">
        <v>2662</v>
      </c>
      <c r="E1399" s="5" t="s">
        <v>2663</v>
      </c>
      <c r="F1399" s="5"/>
      <c r="G1399" s="5" t="str">
        <f aca="false">IF(EXACT(D1399,E1399),"Tetap","Diubah")</f>
        <v>Diubah</v>
      </c>
      <c r="H1399" s="5" t="s">
        <v>23</v>
      </c>
    </row>
    <row r="1400" customFormat="false" ht="15" hidden="false" customHeight="false" outlineLevel="0" collapsed="false">
      <c r="A1400" s="5" t="n">
        <v>1399</v>
      </c>
      <c r="B1400" s="5" t="s">
        <v>2619</v>
      </c>
      <c r="C1400" s="5" t="s">
        <v>130</v>
      </c>
      <c r="D1400" s="5" t="s">
        <v>2664</v>
      </c>
      <c r="E1400" s="5" t="s">
        <v>2665</v>
      </c>
      <c r="F1400" s="5" t="s">
        <v>2666</v>
      </c>
      <c r="G1400" s="5" t="str">
        <f aca="false">IF(EXACT(D1400,E1400),"Tetap","Diubah")</f>
        <v>Diubah</v>
      </c>
      <c r="H1400" s="5" t="s">
        <v>23</v>
      </c>
    </row>
    <row r="1401" customFormat="false" ht="15" hidden="false" customHeight="false" outlineLevel="0" collapsed="false">
      <c r="A1401" s="5" t="n">
        <v>1400</v>
      </c>
      <c r="B1401" s="5" t="s">
        <v>2619</v>
      </c>
      <c r="C1401" s="5" t="s">
        <v>100</v>
      </c>
      <c r="D1401" s="5" t="s">
        <v>2667</v>
      </c>
      <c r="E1401" s="5" t="s">
        <v>2668</v>
      </c>
      <c r="F1401" s="5"/>
      <c r="G1401" s="5" t="str">
        <f aca="false">IF(EXACT(D1401,E1401),"Tetap","Diubah")</f>
        <v>Diubah</v>
      </c>
      <c r="H1401" s="5" t="s">
        <v>23</v>
      </c>
    </row>
    <row r="1402" customFormat="false" ht="15" hidden="false" customHeight="false" outlineLevel="0" collapsed="false">
      <c r="A1402" s="5" t="n">
        <v>1401</v>
      </c>
      <c r="B1402" s="5" t="s">
        <v>2619</v>
      </c>
      <c r="C1402" s="5" t="s">
        <v>100</v>
      </c>
      <c r="D1402" s="5" t="s">
        <v>2669</v>
      </c>
      <c r="E1402" s="5" t="s">
        <v>2670</v>
      </c>
      <c r="F1402" s="5"/>
      <c r="G1402" s="5" t="str">
        <f aca="false">IF(EXACT(D1402,E1402),"Tetap","Diubah")</f>
        <v>Diubah</v>
      </c>
      <c r="H1402" s="5" t="s">
        <v>23</v>
      </c>
    </row>
    <row r="1403" customFormat="false" ht="15" hidden="false" customHeight="false" outlineLevel="0" collapsed="false">
      <c r="A1403" s="5" t="n">
        <v>1402</v>
      </c>
      <c r="B1403" s="5" t="s">
        <v>2619</v>
      </c>
      <c r="C1403" s="5" t="s">
        <v>130</v>
      </c>
      <c r="D1403" s="5" t="s">
        <v>2671</v>
      </c>
      <c r="E1403" s="5" t="s">
        <v>2672</v>
      </c>
      <c r="F1403" s="5"/>
      <c r="G1403" s="5" t="str">
        <f aca="false">IF(EXACT(D1403,E1403),"Tetap","Diubah")</f>
        <v>Diubah</v>
      </c>
      <c r="H1403" s="5" t="s">
        <v>23</v>
      </c>
    </row>
    <row r="1404" customFormat="false" ht="15" hidden="false" customHeight="false" outlineLevel="0" collapsed="false">
      <c r="A1404" s="5" t="n">
        <v>1403</v>
      </c>
      <c r="B1404" s="5" t="s">
        <v>2619</v>
      </c>
      <c r="C1404" s="5" t="s">
        <v>20</v>
      </c>
      <c r="D1404" s="5" t="s">
        <v>2673</v>
      </c>
      <c r="E1404" s="5" t="s">
        <v>2674</v>
      </c>
      <c r="F1404" s="5"/>
      <c r="G1404" s="5" t="str">
        <f aca="false">IF(EXACT(D1404,E1404),"Tetap","Diubah")</f>
        <v>Diubah</v>
      </c>
      <c r="H1404" s="5" t="s">
        <v>23</v>
      </c>
    </row>
    <row r="1405" customFormat="false" ht="15" hidden="false" customHeight="false" outlineLevel="0" collapsed="false">
      <c r="A1405" s="5" t="n">
        <v>1404</v>
      </c>
      <c r="B1405" s="5" t="s">
        <v>2619</v>
      </c>
      <c r="C1405" s="5" t="s">
        <v>20</v>
      </c>
      <c r="D1405" s="5" t="s">
        <v>2675</v>
      </c>
      <c r="E1405" s="5" t="s">
        <v>2676</v>
      </c>
      <c r="F1405" s="5"/>
      <c r="G1405" s="5" t="str">
        <f aca="false">IF(EXACT(D1405,E1405),"Tetap","Diubah")</f>
        <v>Diubah</v>
      </c>
      <c r="H1405" s="5" t="s">
        <v>23</v>
      </c>
    </row>
    <row r="1406" customFormat="false" ht="15" hidden="false" customHeight="false" outlineLevel="0" collapsed="false">
      <c r="A1406" s="5" t="n">
        <v>1405</v>
      </c>
      <c r="B1406" s="5" t="s">
        <v>2619</v>
      </c>
      <c r="C1406" s="5" t="s">
        <v>20</v>
      </c>
      <c r="D1406" s="5" t="s">
        <v>2677</v>
      </c>
      <c r="E1406" s="5" t="s">
        <v>2678</v>
      </c>
      <c r="F1406" s="5"/>
      <c r="G1406" s="5" t="str">
        <f aca="false">IF(EXACT(D1406,E1406),"Tetap","Diubah")</f>
        <v>Diubah</v>
      </c>
      <c r="H1406" s="5" t="s">
        <v>23</v>
      </c>
    </row>
    <row r="1407" customFormat="false" ht="15" hidden="false" customHeight="false" outlineLevel="0" collapsed="false">
      <c r="A1407" s="5" t="n">
        <v>1406</v>
      </c>
      <c r="B1407" s="5" t="s">
        <v>2619</v>
      </c>
      <c r="C1407" s="5" t="s">
        <v>60</v>
      </c>
      <c r="D1407" s="5" t="s">
        <v>192</v>
      </c>
      <c r="E1407" s="5" t="s">
        <v>193</v>
      </c>
      <c r="F1407" s="5"/>
      <c r="G1407" s="5" t="str">
        <f aca="false">IF(EXACT(D1407,E1407),"Tetap","Diubah")</f>
        <v>Diubah</v>
      </c>
      <c r="H1407" s="5" t="s">
        <v>23</v>
      </c>
    </row>
    <row r="1408" customFormat="false" ht="15" hidden="false" customHeight="false" outlineLevel="0" collapsed="false">
      <c r="A1408" s="5" t="n">
        <v>1407</v>
      </c>
      <c r="B1408" s="5" t="s">
        <v>2619</v>
      </c>
      <c r="C1408" s="5" t="s">
        <v>60</v>
      </c>
      <c r="D1408" s="5" t="s">
        <v>2679</v>
      </c>
      <c r="E1408" s="5" t="s">
        <v>2679</v>
      </c>
      <c r="F1408" s="5" t="s">
        <v>28</v>
      </c>
      <c r="G1408" s="5" t="str">
        <f aca="false">IF(EXACT(D1408,E1408),"Tetap","Diubah")</f>
        <v>Tetap</v>
      </c>
      <c r="H1408" s="5" t="s">
        <v>23</v>
      </c>
    </row>
    <row r="1409" customFormat="false" ht="15" hidden="false" customHeight="false" outlineLevel="0" collapsed="false">
      <c r="A1409" s="5" t="n">
        <v>1408</v>
      </c>
      <c r="B1409" s="5" t="s">
        <v>2619</v>
      </c>
      <c r="C1409" s="5" t="s">
        <v>60</v>
      </c>
      <c r="D1409" s="5" t="s">
        <v>2650</v>
      </c>
      <c r="E1409" s="5" t="s">
        <v>295</v>
      </c>
      <c r="F1409" s="5"/>
      <c r="G1409" s="5" t="str">
        <f aca="false">IF(EXACT(D1409,E1409),"Tetap","Diubah")</f>
        <v>Diubah</v>
      </c>
      <c r="H1409" s="5" t="s">
        <v>23</v>
      </c>
    </row>
    <row r="1410" customFormat="false" ht="15" hidden="false" customHeight="false" outlineLevel="0" collapsed="false">
      <c r="A1410" s="5" t="n">
        <v>1409</v>
      </c>
      <c r="B1410" s="5" t="s">
        <v>2619</v>
      </c>
      <c r="C1410" s="5" t="s">
        <v>60</v>
      </c>
      <c r="D1410" s="5" t="s">
        <v>17</v>
      </c>
      <c r="E1410" s="5" t="s">
        <v>17</v>
      </c>
      <c r="F1410" s="5" t="s">
        <v>28</v>
      </c>
      <c r="G1410" s="5" t="str">
        <f aca="false">IF(EXACT(D1410,E1410),"Tetap","Diubah")</f>
        <v>Tetap</v>
      </c>
      <c r="H1410" s="5" t="s">
        <v>23</v>
      </c>
    </row>
    <row r="1411" customFormat="false" ht="15" hidden="false" customHeight="false" outlineLevel="0" collapsed="false">
      <c r="A1411" s="5" t="n">
        <v>1410</v>
      </c>
      <c r="B1411" s="5" t="s">
        <v>2619</v>
      </c>
      <c r="C1411" s="5" t="s">
        <v>45</v>
      </c>
      <c r="D1411" s="5" t="s">
        <v>2680</v>
      </c>
      <c r="E1411" s="5" t="s">
        <v>2681</v>
      </c>
      <c r="F1411" s="5"/>
      <c r="G1411" s="5" t="str">
        <f aca="false">IF(EXACT(D1411,E1411),"Tetap","Diubah")</f>
        <v>Diubah</v>
      </c>
      <c r="H1411" s="5" t="s">
        <v>23</v>
      </c>
    </row>
    <row r="1412" customFormat="false" ht="15" hidden="false" customHeight="false" outlineLevel="0" collapsed="false">
      <c r="A1412" s="5" t="n">
        <v>1411</v>
      </c>
      <c r="B1412" s="5" t="s">
        <v>2619</v>
      </c>
      <c r="C1412" s="5" t="s">
        <v>153</v>
      </c>
      <c r="D1412" s="5" t="s">
        <v>2682</v>
      </c>
      <c r="E1412" s="5" t="s">
        <v>2683</v>
      </c>
      <c r="F1412" s="5"/>
      <c r="G1412" s="5" t="str">
        <f aca="false">IF(EXACT(D1412,E1412),"Tetap","Diubah")</f>
        <v>Diubah</v>
      </c>
      <c r="H1412" s="5" t="s">
        <v>23</v>
      </c>
    </row>
    <row r="1413" customFormat="false" ht="15" hidden="false" customHeight="false" outlineLevel="0" collapsed="false">
      <c r="A1413" s="5" t="n">
        <v>1412</v>
      </c>
      <c r="B1413" s="5" t="s">
        <v>2619</v>
      </c>
      <c r="C1413" s="5" t="s">
        <v>130</v>
      </c>
      <c r="D1413" s="5" t="s">
        <v>2684</v>
      </c>
      <c r="E1413" s="5" t="s">
        <v>2685</v>
      </c>
      <c r="F1413" s="5"/>
      <c r="G1413" s="5" t="str">
        <f aca="false">IF(EXACT(D1413,E1413),"Tetap","Diubah")</f>
        <v>Diubah</v>
      </c>
      <c r="H1413" s="5" t="s">
        <v>23</v>
      </c>
    </row>
    <row r="1414" customFormat="false" ht="15" hidden="false" customHeight="false" outlineLevel="0" collapsed="false">
      <c r="A1414" s="5" t="n">
        <v>1413</v>
      </c>
      <c r="B1414" s="5" t="s">
        <v>2619</v>
      </c>
      <c r="C1414" s="5" t="s">
        <v>20</v>
      </c>
      <c r="D1414" s="5" t="s">
        <v>2686</v>
      </c>
      <c r="E1414" s="5" t="s">
        <v>2687</v>
      </c>
      <c r="F1414" s="5"/>
      <c r="G1414" s="5" t="str">
        <f aca="false">IF(EXACT(D1414,E1414),"Tetap","Diubah")</f>
        <v>Diubah</v>
      </c>
      <c r="H1414" s="5" t="s">
        <v>23</v>
      </c>
    </row>
    <row r="1415" customFormat="false" ht="15" hidden="false" customHeight="false" outlineLevel="0" collapsed="false">
      <c r="A1415" s="5" t="n">
        <v>1414</v>
      </c>
      <c r="B1415" s="5" t="s">
        <v>2619</v>
      </c>
      <c r="C1415" s="5" t="s">
        <v>159</v>
      </c>
      <c r="D1415" s="5" t="s">
        <v>2688</v>
      </c>
      <c r="E1415" s="5" t="s">
        <v>2231</v>
      </c>
      <c r="F1415" s="5"/>
      <c r="G1415" s="5" t="str">
        <f aca="false">IF(EXACT(D1415,E1415),"Tetap","Diubah")</f>
        <v>Diubah</v>
      </c>
      <c r="H1415" s="5" t="s">
        <v>23</v>
      </c>
    </row>
    <row r="1416" customFormat="false" ht="15" hidden="false" customHeight="false" outlineLevel="0" collapsed="false">
      <c r="A1416" s="5" t="n">
        <v>1415</v>
      </c>
      <c r="B1416" s="5" t="s">
        <v>2619</v>
      </c>
      <c r="C1416" s="5" t="s">
        <v>283</v>
      </c>
      <c r="D1416" s="5" t="s">
        <v>2689</v>
      </c>
      <c r="E1416" s="5" t="s">
        <v>2690</v>
      </c>
      <c r="F1416" s="5"/>
      <c r="G1416" s="5" t="str">
        <f aca="false">IF(EXACT(D1416,E1416),"Tetap","Diubah")</f>
        <v>Diubah</v>
      </c>
      <c r="H1416" s="5" t="s">
        <v>23</v>
      </c>
    </row>
    <row r="1417" customFormat="false" ht="15" hidden="false" customHeight="false" outlineLevel="0" collapsed="false">
      <c r="A1417" s="5" t="n">
        <v>1416</v>
      </c>
      <c r="B1417" s="5" t="s">
        <v>2619</v>
      </c>
      <c r="C1417" s="5" t="s">
        <v>283</v>
      </c>
      <c r="D1417" s="5" t="s">
        <v>2627</v>
      </c>
      <c r="E1417" s="5" t="s">
        <v>2627</v>
      </c>
      <c r="F1417" s="5" t="s">
        <v>28</v>
      </c>
      <c r="G1417" s="5" t="str">
        <f aca="false">IF(EXACT(D1417,E1417),"Tetap","Diubah")</f>
        <v>Tetap</v>
      </c>
      <c r="H1417" s="5" t="s">
        <v>23</v>
      </c>
    </row>
    <row r="1418" customFormat="false" ht="15" hidden="false" customHeight="false" outlineLevel="0" collapsed="false">
      <c r="A1418" s="5" t="n">
        <v>1417</v>
      </c>
      <c r="B1418" s="5" t="s">
        <v>2619</v>
      </c>
      <c r="C1418" s="5" t="s">
        <v>330</v>
      </c>
      <c r="D1418" s="5" t="s">
        <v>2691</v>
      </c>
      <c r="E1418" s="5" t="s">
        <v>2692</v>
      </c>
      <c r="F1418" s="5"/>
      <c r="G1418" s="5" t="str">
        <f aca="false">IF(EXACT(D1418,E1418),"Tetap","Diubah")</f>
        <v>Diubah</v>
      </c>
      <c r="H1418" s="5" t="s">
        <v>23</v>
      </c>
    </row>
    <row r="1419" customFormat="false" ht="15" hidden="false" customHeight="false" outlineLevel="0" collapsed="false">
      <c r="A1419" s="5" t="n">
        <v>1418</v>
      </c>
      <c r="B1419" s="5" t="s">
        <v>2619</v>
      </c>
      <c r="C1419" s="5" t="s">
        <v>54</v>
      </c>
      <c r="D1419" s="5" t="s">
        <v>2693</v>
      </c>
      <c r="E1419" s="5" t="s">
        <v>195</v>
      </c>
      <c r="F1419" s="5"/>
      <c r="G1419" s="5" t="str">
        <f aca="false">IF(EXACT(D1419,E1419),"Tetap","Diubah")</f>
        <v>Diubah</v>
      </c>
      <c r="H1419" s="5" t="s">
        <v>23</v>
      </c>
    </row>
    <row r="1420" customFormat="false" ht="15" hidden="false" customHeight="false" outlineLevel="0" collapsed="false">
      <c r="A1420" s="5" t="n">
        <v>1419</v>
      </c>
      <c r="B1420" s="5" t="s">
        <v>2619</v>
      </c>
      <c r="C1420" s="5" t="s">
        <v>100</v>
      </c>
      <c r="D1420" s="5" t="s">
        <v>2694</v>
      </c>
      <c r="E1420" s="5" t="s">
        <v>2695</v>
      </c>
      <c r="F1420" s="5"/>
      <c r="G1420" s="5" t="str">
        <f aca="false">IF(EXACT(D1420,E1420),"Tetap","Diubah")</f>
        <v>Diubah</v>
      </c>
      <c r="H1420" s="5" t="s">
        <v>23</v>
      </c>
    </row>
    <row r="1421" customFormat="false" ht="15" hidden="false" customHeight="false" outlineLevel="0" collapsed="false">
      <c r="A1421" s="5" t="n">
        <v>1420</v>
      </c>
      <c r="B1421" s="5" t="s">
        <v>2619</v>
      </c>
      <c r="C1421" s="5" t="s">
        <v>130</v>
      </c>
      <c r="D1421" s="5" t="s">
        <v>2696</v>
      </c>
      <c r="E1421" s="5" t="s">
        <v>2697</v>
      </c>
      <c r="F1421" s="5"/>
      <c r="G1421" s="5" t="str">
        <f aca="false">IF(EXACT(D1421,E1421),"Tetap","Diubah")</f>
        <v>Diubah</v>
      </c>
      <c r="H1421" s="5" t="s">
        <v>23</v>
      </c>
    </row>
    <row r="1422" customFormat="false" ht="15" hidden="false" customHeight="false" outlineLevel="0" collapsed="false">
      <c r="A1422" s="5" t="n">
        <v>1421</v>
      </c>
      <c r="B1422" s="5" t="s">
        <v>2619</v>
      </c>
      <c r="C1422" s="5" t="s">
        <v>307</v>
      </c>
      <c r="D1422" s="5" t="s">
        <v>2698</v>
      </c>
      <c r="E1422" s="5" t="s">
        <v>309</v>
      </c>
      <c r="F1422" s="5"/>
      <c r="G1422" s="5" t="str">
        <f aca="false">IF(EXACT(D1422,E1422),"Tetap","Diubah")</f>
        <v>Diubah</v>
      </c>
      <c r="H1422" s="5" t="s">
        <v>23</v>
      </c>
    </row>
    <row r="1423" customFormat="false" ht="15" hidden="false" customHeight="false" outlineLevel="0" collapsed="false">
      <c r="A1423" s="5" t="n">
        <v>1422</v>
      </c>
      <c r="B1423" s="5" t="s">
        <v>2619</v>
      </c>
      <c r="C1423" s="5" t="s">
        <v>307</v>
      </c>
      <c r="D1423" s="5" t="s">
        <v>2699</v>
      </c>
      <c r="E1423" s="5" t="s">
        <v>2700</v>
      </c>
      <c r="F1423" s="5"/>
      <c r="G1423" s="5" t="str">
        <f aca="false">IF(EXACT(D1423,E1423),"Tetap","Diubah")</f>
        <v>Diubah</v>
      </c>
      <c r="H1423" s="5" t="s">
        <v>23</v>
      </c>
    </row>
    <row r="1424" customFormat="false" ht="15" hidden="false" customHeight="false" outlineLevel="0" collapsed="false">
      <c r="A1424" s="5" t="n">
        <v>1423</v>
      </c>
      <c r="B1424" s="5" t="s">
        <v>2619</v>
      </c>
      <c r="C1424" s="5" t="s">
        <v>307</v>
      </c>
      <c r="D1424" s="5" t="s">
        <v>2701</v>
      </c>
      <c r="E1424" s="5" t="s">
        <v>2702</v>
      </c>
      <c r="F1424" s="5"/>
      <c r="G1424" s="5" t="str">
        <f aca="false">IF(EXACT(D1424,E1424),"Tetap","Diubah")</f>
        <v>Diubah</v>
      </c>
      <c r="H1424" s="5" t="s">
        <v>23</v>
      </c>
    </row>
    <row r="1425" customFormat="false" ht="15" hidden="false" customHeight="false" outlineLevel="0" collapsed="false">
      <c r="A1425" s="5" t="n">
        <v>1424</v>
      </c>
      <c r="B1425" s="5" t="s">
        <v>2619</v>
      </c>
      <c r="C1425" s="5" t="s">
        <v>307</v>
      </c>
      <c r="D1425" s="5" t="s">
        <v>2703</v>
      </c>
      <c r="E1425" s="5" t="s">
        <v>2704</v>
      </c>
      <c r="F1425" s="5"/>
      <c r="G1425" s="5" t="str">
        <f aca="false">IF(EXACT(D1425,E1425),"Tetap","Diubah")</f>
        <v>Diubah</v>
      </c>
      <c r="H1425" s="5" t="s">
        <v>23</v>
      </c>
    </row>
    <row r="1426" customFormat="false" ht="15" hidden="false" customHeight="false" outlineLevel="0" collapsed="false">
      <c r="A1426" s="5" t="n">
        <v>1425</v>
      </c>
      <c r="B1426" s="5" t="s">
        <v>2619</v>
      </c>
      <c r="C1426" s="5" t="s">
        <v>307</v>
      </c>
      <c r="D1426" s="5" t="s">
        <v>2705</v>
      </c>
      <c r="E1426" s="5" t="s">
        <v>323</v>
      </c>
      <c r="F1426" s="5"/>
      <c r="G1426" s="5" t="str">
        <f aca="false">IF(EXACT(D1426,E1426),"Tetap","Diubah")</f>
        <v>Diubah</v>
      </c>
      <c r="H1426" s="5" t="s">
        <v>23</v>
      </c>
    </row>
    <row r="1427" customFormat="false" ht="15" hidden="false" customHeight="false" outlineLevel="0" collapsed="false">
      <c r="A1427" s="5" t="n">
        <v>1426</v>
      </c>
      <c r="B1427" s="5" t="s">
        <v>2619</v>
      </c>
      <c r="C1427" s="5" t="s">
        <v>307</v>
      </c>
      <c r="D1427" s="5" t="s">
        <v>2706</v>
      </c>
      <c r="E1427" s="5" t="s">
        <v>2707</v>
      </c>
      <c r="F1427" s="5"/>
      <c r="G1427" s="5" t="str">
        <f aca="false">IF(EXACT(D1427,E1427),"Tetap","Diubah")</f>
        <v>Diubah</v>
      </c>
      <c r="H1427" s="5" t="s">
        <v>23</v>
      </c>
    </row>
    <row r="1428" customFormat="false" ht="15" hidden="false" customHeight="false" outlineLevel="0" collapsed="false">
      <c r="A1428" s="5" t="n">
        <v>1427</v>
      </c>
      <c r="B1428" s="5" t="s">
        <v>2619</v>
      </c>
      <c r="C1428" s="5" t="s">
        <v>307</v>
      </c>
      <c r="D1428" s="5" t="s">
        <v>2708</v>
      </c>
      <c r="E1428" s="5" t="s">
        <v>2709</v>
      </c>
      <c r="F1428" s="5"/>
      <c r="G1428" s="5" t="str">
        <f aca="false">IF(EXACT(D1428,E1428),"Tetap","Diubah")</f>
        <v>Diubah</v>
      </c>
      <c r="H1428" s="5" t="s">
        <v>23</v>
      </c>
    </row>
    <row r="1429" customFormat="false" ht="15" hidden="false" customHeight="false" outlineLevel="0" collapsed="false">
      <c r="A1429" s="5" t="n">
        <v>1428</v>
      </c>
      <c r="B1429" s="5" t="s">
        <v>2619</v>
      </c>
      <c r="C1429" s="5" t="s">
        <v>307</v>
      </c>
      <c r="D1429" s="5" t="s">
        <v>2710</v>
      </c>
      <c r="E1429" s="5" t="s">
        <v>2711</v>
      </c>
      <c r="F1429" s="5"/>
      <c r="G1429" s="5" t="str">
        <f aca="false">IF(EXACT(D1429,E1429),"Tetap","Diubah")</f>
        <v>Diubah</v>
      </c>
      <c r="H1429" s="5" t="s">
        <v>23</v>
      </c>
    </row>
    <row r="1430" customFormat="false" ht="15" hidden="false" customHeight="false" outlineLevel="0" collapsed="false">
      <c r="A1430" s="5" t="n">
        <v>1429</v>
      </c>
      <c r="B1430" s="5" t="s">
        <v>2619</v>
      </c>
      <c r="C1430" s="5" t="s">
        <v>283</v>
      </c>
      <c r="D1430" s="5" t="s">
        <v>2712</v>
      </c>
      <c r="E1430" s="5" t="s">
        <v>1148</v>
      </c>
      <c r="F1430" s="5"/>
      <c r="G1430" s="5" t="str">
        <f aca="false">IF(EXACT(D1430,E1430),"Tetap","Diubah")</f>
        <v>Diubah</v>
      </c>
      <c r="H1430" s="5" t="s">
        <v>23</v>
      </c>
    </row>
    <row r="1431" customFormat="false" ht="15" hidden="false" customHeight="false" outlineLevel="0" collapsed="false">
      <c r="A1431" s="5" t="n">
        <v>1430</v>
      </c>
      <c r="B1431" s="5" t="s">
        <v>2619</v>
      </c>
      <c r="C1431" s="5" t="s">
        <v>283</v>
      </c>
      <c r="D1431" s="5" t="s">
        <v>2713</v>
      </c>
      <c r="E1431" s="5" t="s">
        <v>2713</v>
      </c>
      <c r="F1431" s="5" t="s">
        <v>28</v>
      </c>
      <c r="G1431" s="5" t="str">
        <f aca="false">IF(EXACT(D1431,E1431),"Tetap","Diubah")</f>
        <v>Tetap</v>
      </c>
      <c r="H1431" s="5" t="s">
        <v>23</v>
      </c>
    </row>
    <row r="1432" customFormat="false" ht="15" hidden="false" customHeight="false" outlineLevel="0" collapsed="false">
      <c r="A1432" s="5" t="n">
        <v>1431</v>
      </c>
      <c r="B1432" s="5" t="s">
        <v>2619</v>
      </c>
      <c r="C1432" s="5" t="s">
        <v>71</v>
      </c>
      <c r="D1432" s="5" t="s">
        <v>2714</v>
      </c>
      <c r="E1432" s="5" t="s">
        <v>2695</v>
      </c>
      <c r="F1432" s="5"/>
      <c r="G1432" s="5" t="str">
        <f aca="false">IF(EXACT(D1432,E1432),"Tetap","Diubah")</f>
        <v>Diubah</v>
      </c>
      <c r="H1432" s="5" t="s">
        <v>23</v>
      </c>
    </row>
    <row r="1433" customFormat="false" ht="23.85" hidden="false" customHeight="false" outlineLevel="0" collapsed="false">
      <c r="A1433" s="5" t="n">
        <v>1432</v>
      </c>
      <c r="B1433" s="5" t="s">
        <v>2619</v>
      </c>
      <c r="C1433" s="5" t="s">
        <v>71</v>
      </c>
      <c r="D1433" s="5" t="s">
        <v>2715</v>
      </c>
      <c r="E1433" s="5" t="s">
        <v>2716</v>
      </c>
      <c r="F1433" s="5"/>
      <c r="G1433" s="5" t="str">
        <f aca="false">IF(EXACT(D1433,E1433),"Tetap","Diubah")</f>
        <v>Diubah</v>
      </c>
      <c r="H1433" s="5" t="s">
        <v>23</v>
      </c>
    </row>
    <row r="1434" customFormat="false" ht="15" hidden="false" customHeight="false" outlineLevel="0" collapsed="false">
      <c r="A1434" s="5" t="n">
        <v>1433</v>
      </c>
      <c r="B1434" s="5" t="s">
        <v>2619</v>
      </c>
      <c r="C1434" s="5" t="s">
        <v>330</v>
      </c>
      <c r="D1434" s="5" t="s">
        <v>2717</v>
      </c>
      <c r="E1434" s="5" t="s">
        <v>2718</v>
      </c>
      <c r="F1434" s="5"/>
      <c r="G1434" s="5" t="str">
        <f aca="false">IF(EXACT(D1434,E1434),"Tetap","Diubah")</f>
        <v>Diubah</v>
      </c>
      <c r="H1434" s="5" t="s">
        <v>23</v>
      </c>
    </row>
    <row r="1435" customFormat="false" ht="15" hidden="false" customHeight="false" outlineLevel="0" collapsed="false">
      <c r="A1435" s="5" t="n">
        <v>1434</v>
      </c>
      <c r="B1435" s="5" t="s">
        <v>2619</v>
      </c>
      <c r="C1435" s="5" t="s">
        <v>330</v>
      </c>
      <c r="D1435" s="5" t="s">
        <v>2719</v>
      </c>
      <c r="E1435" s="5" t="s">
        <v>2264</v>
      </c>
      <c r="F1435" s="5"/>
      <c r="G1435" s="5" t="str">
        <f aca="false">IF(EXACT(D1435,E1435),"Tetap","Diubah")</f>
        <v>Diubah</v>
      </c>
      <c r="H1435" s="5" t="s">
        <v>23</v>
      </c>
    </row>
    <row r="1436" customFormat="false" ht="15" hidden="false" customHeight="false" outlineLevel="0" collapsed="false">
      <c r="A1436" s="5" t="n">
        <v>1435</v>
      </c>
      <c r="B1436" s="5" t="s">
        <v>2619</v>
      </c>
      <c r="C1436" s="5" t="s">
        <v>330</v>
      </c>
      <c r="D1436" s="5" t="s">
        <v>2633</v>
      </c>
      <c r="E1436" s="5" t="s">
        <v>2634</v>
      </c>
      <c r="F1436" s="5"/>
      <c r="G1436" s="5" t="str">
        <f aca="false">IF(EXACT(D1436,E1436),"Tetap","Diubah")</f>
        <v>Diubah</v>
      </c>
      <c r="H1436" s="5" t="s">
        <v>23</v>
      </c>
    </row>
    <row r="1437" customFormat="false" ht="15" hidden="false" customHeight="false" outlineLevel="0" collapsed="false">
      <c r="A1437" s="5" t="n">
        <v>1436</v>
      </c>
      <c r="B1437" s="5" t="s">
        <v>2619</v>
      </c>
      <c r="C1437" s="5" t="s">
        <v>330</v>
      </c>
      <c r="D1437" s="5" t="s">
        <v>2720</v>
      </c>
      <c r="E1437" s="5" t="s">
        <v>2721</v>
      </c>
      <c r="F1437" s="5"/>
      <c r="G1437" s="5" t="str">
        <f aca="false">IF(EXACT(D1437,E1437),"Tetap","Diubah")</f>
        <v>Diubah</v>
      </c>
      <c r="H1437" s="5" t="s">
        <v>23</v>
      </c>
    </row>
    <row r="1438" customFormat="false" ht="15" hidden="false" customHeight="false" outlineLevel="0" collapsed="false">
      <c r="A1438" s="5" t="n">
        <v>1437</v>
      </c>
      <c r="B1438" s="5" t="s">
        <v>2619</v>
      </c>
      <c r="C1438" s="5" t="s">
        <v>330</v>
      </c>
      <c r="D1438" s="5" t="s">
        <v>2722</v>
      </c>
      <c r="E1438" s="5" t="s">
        <v>2723</v>
      </c>
      <c r="F1438" s="5"/>
      <c r="G1438" s="5" t="str">
        <f aca="false">IF(EXACT(D1438,E1438),"Tetap","Diubah")</f>
        <v>Diubah</v>
      </c>
      <c r="H1438" s="5" t="s">
        <v>23</v>
      </c>
    </row>
    <row r="1439" customFormat="false" ht="15" hidden="false" customHeight="false" outlineLevel="0" collapsed="false">
      <c r="A1439" s="5" t="n">
        <v>1438</v>
      </c>
      <c r="B1439" s="5" t="s">
        <v>298</v>
      </c>
      <c r="C1439" s="5" t="s">
        <v>159</v>
      </c>
      <c r="D1439" s="5" t="s">
        <v>2724</v>
      </c>
      <c r="E1439" s="5" t="s">
        <v>2725</v>
      </c>
      <c r="F1439" s="5"/>
      <c r="G1439" s="5" t="str">
        <f aca="false">IF(EXACT(D1439,E1439),"Tetap","Diubah")</f>
        <v>Diubah</v>
      </c>
      <c r="H1439" s="5" t="s">
        <v>23</v>
      </c>
    </row>
    <row r="1440" customFormat="false" ht="15" hidden="false" customHeight="false" outlineLevel="0" collapsed="false">
      <c r="A1440" s="5" t="n">
        <v>1439</v>
      </c>
      <c r="B1440" s="5" t="s">
        <v>298</v>
      </c>
      <c r="C1440" s="5" t="s">
        <v>147</v>
      </c>
      <c r="D1440" s="5" t="s">
        <v>2726</v>
      </c>
      <c r="E1440" s="5" t="s">
        <v>2727</v>
      </c>
      <c r="F1440" s="5"/>
      <c r="G1440" s="5" t="str">
        <f aca="false">IF(EXACT(D1440,E1440),"Tetap","Diubah")</f>
        <v>Diubah</v>
      </c>
      <c r="H1440" s="5" t="s">
        <v>23</v>
      </c>
    </row>
    <row r="1441" customFormat="false" ht="15" hidden="false" customHeight="false" outlineLevel="0" collapsed="false">
      <c r="A1441" s="5" t="n">
        <v>1440</v>
      </c>
      <c r="B1441" s="5" t="s">
        <v>298</v>
      </c>
      <c r="C1441" s="5" t="s">
        <v>283</v>
      </c>
      <c r="D1441" s="5" t="s">
        <v>2728</v>
      </c>
      <c r="E1441" s="5" t="s">
        <v>299</v>
      </c>
      <c r="F1441" s="5"/>
      <c r="G1441" s="5" t="str">
        <f aca="false">IF(EXACT(D1441,E1441),"Tetap","Diubah")</f>
        <v>Diubah</v>
      </c>
      <c r="H1441" s="5" t="s">
        <v>23</v>
      </c>
    </row>
    <row r="1442" customFormat="false" ht="15" hidden="false" customHeight="false" outlineLevel="0" collapsed="false">
      <c r="A1442" s="5" t="n">
        <v>1441</v>
      </c>
      <c r="B1442" s="5" t="s">
        <v>298</v>
      </c>
      <c r="C1442" s="5" t="s">
        <v>20</v>
      </c>
      <c r="D1442" s="5" t="s">
        <v>2729</v>
      </c>
      <c r="E1442" s="5" t="s">
        <v>2730</v>
      </c>
      <c r="F1442" s="5"/>
      <c r="G1442" s="5" t="str">
        <f aca="false">IF(EXACT(D1442,E1442),"Tetap","Diubah")</f>
        <v>Diubah</v>
      </c>
      <c r="H1442" s="5" t="s">
        <v>23</v>
      </c>
    </row>
    <row r="1443" customFormat="false" ht="15" hidden="false" customHeight="false" outlineLevel="0" collapsed="false">
      <c r="A1443" s="5" t="n">
        <v>1442</v>
      </c>
      <c r="B1443" s="5" t="s">
        <v>298</v>
      </c>
      <c r="C1443" s="5" t="s">
        <v>20</v>
      </c>
      <c r="D1443" s="5" t="s">
        <v>2731</v>
      </c>
      <c r="E1443" s="5" t="s">
        <v>2732</v>
      </c>
      <c r="F1443" s="5" t="s">
        <v>2733</v>
      </c>
      <c r="G1443" s="5" t="str">
        <f aca="false">IF(EXACT(D1443,E1443),"Tetap","Diubah")</f>
        <v>Diubah</v>
      </c>
      <c r="H1443" s="5" t="s">
        <v>23</v>
      </c>
    </row>
    <row r="1444" customFormat="false" ht="15" hidden="false" customHeight="false" outlineLevel="0" collapsed="false">
      <c r="A1444" s="5" t="n">
        <v>1443</v>
      </c>
      <c r="B1444" s="5" t="s">
        <v>298</v>
      </c>
      <c r="C1444" s="5" t="s">
        <v>283</v>
      </c>
      <c r="D1444" s="5" t="s">
        <v>2734</v>
      </c>
      <c r="E1444" s="5" t="s">
        <v>2735</v>
      </c>
      <c r="F1444" s="5"/>
      <c r="G1444" s="5" t="str">
        <f aca="false">IF(EXACT(D1444,E1444),"Tetap","Diubah")</f>
        <v>Diubah</v>
      </c>
      <c r="H1444" s="5" t="s">
        <v>23</v>
      </c>
    </row>
    <row r="1445" customFormat="false" ht="15" hidden="false" customHeight="false" outlineLevel="0" collapsed="false">
      <c r="A1445" s="5" t="n">
        <v>1444</v>
      </c>
      <c r="B1445" s="5" t="s">
        <v>298</v>
      </c>
      <c r="C1445" s="5" t="s">
        <v>112</v>
      </c>
      <c r="D1445" s="5" t="s">
        <v>2736</v>
      </c>
      <c r="E1445" s="5" t="s">
        <v>2737</v>
      </c>
      <c r="F1445" s="5" t="s">
        <v>2738</v>
      </c>
      <c r="G1445" s="5" t="str">
        <f aca="false">IF(EXACT(D1445,E1445),"Tetap","Diubah")</f>
        <v>Diubah</v>
      </c>
      <c r="H1445" s="5" t="s">
        <v>23</v>
      </c>
    </row>
    <row r="1446" customFormat="false" ht="15" hidden="false" customHeight="false" outlineLevel="0" collapsed="false">
      <c r="A1446" s="5" t="n">
        <v>1445</v>
      </c>
      <c r="B1446" s="5" t="s">
        <v>298</v>
      </c>
      <c r="C1446" s="5" t="s">
        <v>112</v>
      </c>
      <c r="D1446" s="5" t="s">
        <v>2739</v>
      </c>
      <c r="E1446" s="5" t="s">
        <v>2740</v>
      </c>
      <c r="F1446" s="5"/>
      <c r="G1446" s="5" t="str">
        <f aca="false">IF(EXACT(D1446,E1446),"Tetap","Diubah")</f>
        <v>Diubah</v>
      </c>
      <c r="H1446" s="5" t="s">
        <v>23</v>
      </c>
    </row>
    <row r="1447" customFormat="false" ht="15" hidden="false" customHeight="false" outlineLevel="0" collapsed="false">
      <c r="A1447" s="5" t="n">
        <v>1446</v>
      </c>
      <c r="B1447" s="5" t="s">
        <v>298</v>
      </c>
      <c r="C1447" s="5" t="s">
        <v>112</v>
      </c>
      <c r="D1447" s="5" t="s">
        <v>2741</v>
      </c>
      <c r="E1447" s="5" t="s">
        <v>2742</v>
      </c>
      <c r="F1447" s="5"/>
      <c r="G1447" s="5" t="str">
        <f aca="false">IF(EXACT(D1447,E1447),"Tetap","Diubah")</f>
        <v>Diubah</v>
      </c>
      <c r="H1447" s="5" t="s">
        <v>23</v>
      </c>
    </row>
    <row r="1448" customFormat="false" ht="15" hidden="false" customHeight="false" outlineLevel="0" collapsed="false">
      <c r="A1448" s="5" t="n">
        <v>1447</v>
      </c>
      <c r="B1448" s="5" t="s">
        <v>298</v>
      </c>
      <c r="C1448" s="5" t="s">
        <v>112</v>
      </c>
      <c r="D1448" s="5" t="s">
        <v>2743</v>
      </c>
      <c r="E1448" s="5" t="s">
        <v>2744</v>
      </c>
      <c r="F1448" s="5"/>
      <c r="G1448" s="5" t="str">
        <f aca="false">IF(EXACT(D1448,E1448),"Tetap","Diubah")</f>
        <v>Diubah</v>
      </c>
      <c r="H1448" s="5" t="s">
        <v>23</v>
      </c>
    </row>
    <row r="1449" customFormat="false" ht="15" hidden="false" customHeight="false" outlineLevel="0" collapsed="false">
      <c r="A1449" s="5" t="n">
        <v>1448</v>
      </c>
      <c r="B1449" s="5" t="s">
        <v>298</v>
      </c>
      <c r="C1449" s="5" t="s">
        <v>112</v>
      </c>
      <c r="D1449" s="5" t="s">
        <v>2745</v>
      </c>
      <c r="E1449" s="5" t="s">
        <v>2746</v>
      </c>
      <c r="F1449" s="5"/>
      <c r="G1449" s="5" t="str">
        <f aca="false">IF(EXACT(D1449,E1449),"Tetap","Diubah")</f>
        <v>Diubah</v>
      </c>
      <c r="H1449" s="5" t="s">
        <v>23</v>
      </c>
    </row>
    <row r="1450" customFormat="false" ht="15" hidden="false" customHeight="false" outlineLevel="0" collapsed="false">
      <c r="A1450" s="5" t="n">
        <v>1449</v>
      </c>
      <c r="B1450" s="5" t="s">
        <v>298</v>
      </c>
      <c r="C1450" s="5" t="s">
        <v>112</v>
      </c>
      <c r="D1450" s="5" t="s">
        <v>2747</v>
      </c>
      <c r="E1450" s="5" t="s">
        <v>2748</v>
      </c>
      <c r="F1450" s="5"/>
      <c r="G1450" s="5" t="str">
        <f aca="false">IF(EXACT(D1450,E1450),"Tetap","Diubah")</f>
        <v>Diubah</v>
      </c>
      <c r="H1450" s="5" t="s">
        <v>23</v>
      </c>
    </row>
    <row r="1451" customFormat="false" ht="15" hidden="false" customHeight="false" outlineLevel="0" collapsed="false">
      <c r="A1451" s="5" t="n">
        <v>1450</v>
      </c>
      <c r="B1451" s="5" t="s">
        <v>298</v>
      </c>
      <c r="C1451" s="5" t="s">
        <v>112</v>
      </c>
      <c r="D1451" s="5" t="s">
        <v>2749</v>
      </c>
      <c r="E1451" s="5" t="s">
        <v>2750</v>
      </c>
      <c r="F1451" s="5"/>
      <c r="G1451" s="5" t="str">
        <f aca="false">IF(EXACT(D1451,E1451),"Tetap","Diubah")</f>
        <v>Diubah</v>
      </c>
      <c r="H1451" s="5" t="s">
        <v>23</v>
      </c>
    </row>
    <row r="1452" customFormat="false" ht="15" hidden="false" customHeight="false" outlineLevel="0" collapsed="false">
      <c r="A1452" s="5" t="n">
        <v>1451</v>
      </c>
      <c r="B1452" s="5" t="s">
        <v>298</v>
      </c>
      <c r="C1452" s="5" t="s">
        <v>112</v>
      </c>
      <c r="D1452" s="5" t="s">
        <v>2751</v>
      </c>
      <c r="E1452" s="5" t="s">
        <v>2752</v>
      </c>
      <c r="F1452" s="5"/>
      <c r="G1452" s="5" t="str">
        <f aca="false">IF(EXACT(D1452,E1452),"Tetap","Diubah")</f>
        <v>Diubah</v>
      </c>
      <c r="H1452" s="5" t="s">
        <v>23</v>
      </c>
    </row>
    <row r="1453" customFormat="false" ht="15" hidden="false" customHeight="false" outlineLevel="0" collapsed="false">
      <c r="A1453" s="5" t="n">
        <v>1452</v>
      </c>
      <c r="B1453" s="5" t="s">
        <v>298</v>
      </c>
      <c r="C1453" s="5" t="s">
        <v>112</v>
      </c>
      <c r="D1453" s="5" t="s">
        <v>2753</v>
      </c>
      <c r="E1453" s="5" t="s">
        <v>2754</v>
      </c>
      <c r="F1453" s="5"/>
      <c r="G1453" s="5" t="str">
        <f aca="false">IF(EXACT(D1453,E1453),"Tetap","Diubah")</f>
        <v>Diubah</v>
      </c>
      <c r="H1453" s="5" t="s">
        <v>23</v>
      </c>
    </row>
    <row r="1454" customFormat="false" ht="15" hidden="false" customHeight="false" outlineLevel="0" collapsed="false">
      <c r="A1454" s="5" t="n">
        <v>1453</v>
      </c>
      <c r="B1454" s="5" t="s">
        <v>298</v>
      </c>
      <c r="C1454" s="5" t="s">
        <v>112</v>
      </c>
      <c r="D1454" s="5" t="s">
        <v>2755</v>
      </c>
      <c r="E1454" s="5" t="s">
        <v>2756</v>
      </c>
      <c r="F1454" s="5"/>
      <c r="G1454" s="5" t="str">
        <f aca="false">IF(EXACT(D1454,E1454),"Tetap","Diubah")</f>
        <v>Diubah</v>
      </c>
      <c r="H1454" s="5" t="s">
        <v>23</v>
      </c>
    </row>
    <row r="1455" customFormat="false" ht="15" hidden="false" customHeight="false" outlineLevel="0" collapsed="false">
      <c r="A1455" s="5" t="n">
        <v>1454</v>
      </c>
      <c r="B1455" s="5" t="s">
        <v>298</v>
      </c>
      <c r="C1455" s="5" t="s">
        <v>112</v>
      </c>
      <c r="D1455" s="5" t="s">
        <v>2757</v>
      </c>
      <c r="E1455" s="5" t="s">
        <v>2758</v>
      </c>
      <c r="F1455" s="5"/>
      <c r="G1455" s="5" t="str">
        <f aca="false">IF(EXACT(D1455,E1455),"Tetap","Diubah")</f>
        <v>Diubah</v>
      </c>
      <c r="H1455" s="5" t="s">
        <v>23</v>
      </c>
    </row>
    <row r="1456" customFormat="false" ht="15" hidden="false" customHeight="false" outlineLevel="0" collapsed="false">
      <c r="A1456" s="5" t="n">
        <v>1455</v>
      </c>
      <c r="B1456" s="5" t="s">
        <v>298</v>
      </c>
      <c r="C1456" s="5" t="s">
        <v>112</v>
      </c>
      <c r="D1456" s="5" t="s">
        <v>2759</v>
      </c>
      <c r="E1456" s="5" t="s">
        <v>2760</v>
      </c>
      <c r="F1456" s="5"/>
      <c r="G1456" s="5" t="str">
        <f aca="false">IF(EXACT(D1456,E1456),"Tetap","Diubah")</f>
        <v>Diubah</v>
      </c>
      <c r="H1456" s="5" t="s">
        <v>23</v>
      </c>
    </row>
    <row r="1457" customFormat="false" ht="15" hidden="false" customHeight="false" outlineLevel="0" collapsed="false">
      <c r="A1457" s="5" t="n">
        <v>1456</v>
      </c>
      <c r="B1457" s="5" t="s">
        <v>298</v>
      </c>
      <c r="C1457" s="5" t="s">
        <v>112</v>
      </c>
      <c r="D1457" s="5" t="s">
        <v>2761</v>
      </c>
      <c r="E1457" s="5" t="s">
        <v>114</v>
      </c>
      <c r="F1457" s="5"/>
      <c r="G1457" s="5" t="str">
        <f aca="false">IF(EXACT(D1457,E1457),"Tetap","Diubah")</f>
        <v>Diubah</v>
      </c>
      <c r="H1457" s="5" t="s">
        <v>23</v>
      </c>
    </row>
    <row r="1458" customFormat="false" ht="15" hidden="false" customHeight="false" outlineLevel="0" collapsed="false">
      <c r="A1458" s="5" t="n">
        <v>1457</v>
      </c>
      <c r="B1458" s="5" t="s">
        <v>298</v>
      </c>
      <c r="C1458" s="5" t="s">
        <v>112</v>
      </c>
      <c r="D1458" s="5" t="s">
        <v>2762</v>
      </c>
      <c r="E1458" s="5" t="s">
        <v>297</v>
      </c>
      <c r="F1458" s="5"/>
      <c r="G1458" s="5" t="str">
        <f aca="false">IF(EXACT(D1458,E1458),"Tetap","Diubah")</f>
        <v>Diubah</v>
      </c>
      <c r="H1458" s="5" t="s">
        <v>23</v>
      </c>
    </row>
    <row r="1459" customFormat="false" ht="15" hidden="false" customHeight="false" outlineLevel="0" collapsed="false">
      <c r="A1459" s="5" t="n">
        <v>1458</v>
      </c>
      <c r="B1459" s="5" t="s">
        <v>298</v>
      </c>
      <c r="C1459" s="5" t="s">
        <v>112</v>
      </c>
      <c r="D1459" s="5" t="s">
        <v>2763</v>
      </c>
      <c r="E1459" s="5" t="s">
        <v>2764</v>
      </c>
      <c r="F1459" s="5"/>
      <c r="G1459" s="5" t="str">
        <f aca="false">IF(EXACT(D1459,E1459),"Tetap","Diubah")</f>
        <v>Diubah</v>
      </c>
      <c r="H1459" s="5" t="s">
        <v>23</v>
      </c>
    </row>
    <row r="1460" customFormat="false" ht="15" hidden="false" customHeight="false" outlineLevel="0" collapsed="false">
      <c r="A1460" s="5" t="n">
        <v>1459</v>
      </c>
      <c r="B1460" s="5" t="s">
        <v>298</v>
      </c>
      <c r="C1460" s="5" t="s">
        <v>112</v>
      </c>
      <c r="D1460" s="5" t="s">
        <v>2765</v>
      </c>
      <c r="E1460" s="5" t="s">
        <v>2766</v>
      </c>
      <c r="F1460" s="5"/>
      <c r="G1460" s="5" t="str">
        <f aca="false">IF(EXACT(D1460,E1460),"Tetap","Diubah")</f>
        <v>Diubah</v>
      </c>
      <c r="H1460" s="5" t="s">
        <v>23</v>
      </c>
    </row>
    <row r="1461" customFormat="false" ht="15" hidden="false" customHeight="false" outlineLevel="0" collapsed="false">
      <c r="A1461" s="5" t="n">
        <v>1460</v>
      </c>
      <c r="B1461" s="5" t="s">
        <v>298</v>
      </c>
      <c r="C1461" s="5" t="s">
        <v>112</v>
      </c>
      <c r="D1461" s="5" t="s">
        <v>2767</v>
      </c>
      <c r="E1461" s="5" t="s">
        <v>2768</v>
      </c>
      <c r="F1461" s="5"/>
      <c r="G1461" s="5" t="str">
        <f aca="false">IF(EXACT(D1461,E1461),"Tetap","Diubah")</f>
        <v>Diubah</v>
      </c>
      <c r="H1461" s="5" t="s">
        <v>23</v>
      </c>
    </row>
    <row r="1462" customFormat="false" ht="15" hidden="false" customHeight="false" outlineLevel="0" collapsed="false">
      <c r="A1462" s="5" t="n">
        <v>1461</v>
      </c>
      <c r="B1462" s="5" t="s">
        <v>298</v>
      </c>
      <c r="C1462" s="5" t="s">
        <v>159</v>
      </c>
      <c r="D1462" s="5" t="s">
        <v>2769</v>
      </c>
      <c r="E1462" s="5" t="s">
        <v>2770</v>
      </c>
      <c r="F1462" s="5"/>
      <c r="G1462" s="5" t="str">
        <f aca="false">IF(EXACT(D1462,E1462),"Tetap","Diubah")</f>
        <v>Diubah</v>
      </c>
      <c r="H1462" s="5" t="s">
        <v>23</v>
      </c>
    </row>
    <row r="1463" customFormat="false" ht="15" hidden="false" customHeight="false" outlineLevel="0" collapsed="false">
      <c r="A1463" s="5" t="n">
        <v>1462</v>
      </c>
      <c r="B1463" s="5" t="s">
        <v>298</v>
      </c>
      <c r="C1463" s="5" t="s">
        <v>20</v>
      </c>
      <c r="D1463" s="5" t="s">
        <v>2771</v>
      </c>
      <c r="E1463" s="5" t="s">
        <v>2772</v>
      </c>
      <c r="F1463" s="5"/>
      <c r="G1463" s="5" t="str">
        <f aca="false">IF(EXACT(D1463,E1463),"Tetap","Diubah")</f>
        <v>Diubah</v>
      </c>
      <c r="H1463" s="5" t="s">
        <v>23</v>
      </c>
    </row>
    <row r="1464" customFormat="false" ht="15" hidden="false" customHeight="false" outlineLevel="0" collapsed="false">
      <c r="A1464" s="5" t="n">
        <v>1463</v>
      </c>
      <c r="B1464" s="5" t="s">
        <v>298</v>
      </c>
      <c r="C1464" s="5" t="s">
        <v>20</v>
      </c>
      <c r="D1464" s="5" t="s">
        <v>2773</v>
      </c>
      <c r="E1464" s="5" t="s">
        <v>2746</v>
      </c>
      <c r="F1464" s="5"/>
      <c r="G1464" s="5" t="str">
        <f aca="false">IF(EXACT(D1464,E1464),"Tetap","Diubah")</f>
        <v>Diubah</v>
      </c>
      <c r="H1464" s="5" t="s">
        <v>23</v>
      </c>
    </row>
    <row r="1465" customFormat="false" ht="15" hidden="false" customHeight="false" outlineLevel="0" collapsed="false">
      <c r="A1465" s="5" t="n">
        <v>1464</v>
      </c>
      <c r="B1465" s="5" t="s">
        <v>298</v>
      </c>
      <c r="C1465" s="5" t="s">
        <v>221</v>
      </c>
      <c r="D1465" s="5" t="s">
        <v>2774</v>
      </c>
      <c r="E1465" s="5" t="s">
        <v>2737</v>
      </c>
      <c r="F1465" s="5" t="s">
        <v>2775</v>
      </c>
      <c r="G1465" s="5" t="str">
        <f aca="false">IF(EXACT(D1465,E1465),"Tetap","Diubah")</f>
        <v>Diubah</v>
      </c>
      <c r="H1465" s="5" t="s">
        <v>23</v>
      </c>
    </row>
    <row r="1466" customFormat="false" ht="15" hidden="false" customHeight="false" outlineLevel="0" collapsed="false">
      <c r="A1466" s="5" t="n">
        <v>1465</v>
      </c>
      <c r="B1466" s="5" t="s">
        <v>298</v>
      </c>
      <c r="C1466" s="5" t="s">
        <v>283</v>
      </c>
      <c r="D1466" s="5" t="s">
        <v>2776</v>
      </c>
      <c r="E1466" s="5" t="s">
        <v>2659</v>
      </c>
      <c r="F1466" s="5"/>
      <c r="G1466" s="5" t="str">
        <f aca="false">IF(EXACT(D1466,E1466),"Tetap","Diubah")</f>
        <v>Diubah</v>
      </c>
      <c r="H1466" s="5" t="s">
        <v>23</v>
      </c>
    </row>
    <row r="1467" customFormat="false" ht="15" hidden="false" customHeight="false" outlineLevel="0" collapsed="false">
      <c r="A1467" s="5" t="n">
        <v>1466</v>
      </c>
      <c r="B1467" s="5" t="s">
        <v>298</v>
      </c>
      <c r="C1467" s="5" t="s">
        <v>221</v>
      </c>
      <c r="D1467" s="5" t="s">
        <v>2777</v>
      </c>
      <c r="E1467" s="5" t="s">
        <v>2740</v>
      </c>
      <c r="F1467" s="5"/>
      <c r="G1467" s="5" t="str">
        <f aca="false">IF(EXACT(D1467,E1467),"Tetap","Diubah")</f>
        <v>Diubah</v>
      </c>
      <c r="H1467" s="5" t="s">
        <v>23</v>
      </c>
    </row>
    <row r="1468" customFormat="false" ht="15" hidden="false" customHeight="false" outlineLevel="0" collapsed="false">
      <c r="A1468" s="5" t="n">
        <v>1467</v>
      </c>
      <c r="B1468" s="5" t="s">
        <v>298</v>
      </c>
      <c r="C1468" s="5" t="s">
        <v>221</v>
      </c>
      <c r="D1468" s="5" t="s">
        <v>2778</v>
      </c>
      <c r="E1468" s="5" t="s">
        <v>2742</v>
      </c>
      <c r="F1468" s="5"/>
      <c r="G1468" s="5" t="str">
        <f aca="false">IF(EXACT(D1468,E1468),"Tetap","Diubah")</f>
        <v>Diubah</v>
      </c>
      <c r="H1468" s="5" t="s">
        <v>23</v>
      </c>
    </row>
    <row r="1469" customFormat="false" ht="15" hidden="false" customHeight="false" outlineLevel="0" collapsed="false">
      <c r="A1469" s="5" t="n">
        <v>1468</v>
      </c>
      <c r="B1469" s="5" t="s">
        <v>298</v>
      </c>
      <c r="C1469" s="5" t="s">
        <v>221</v>
      </c>
      <c r="D1469" s="5" t="s">
        <v>2779</v>
      </c>
      <c r="E1469" s="5" t="s">
        <v>2780</v>
      </c>
      <c r="F1469" s="5"/>
      <c r="G1469" s="5" t="str">
        <f aca="false">IF(EXACT(D1469,E1469),"Tetap","Diubah")</f>
        <v>Diubah</v>
      </c>
      <c r="H1469" s="5" t="s">
        <v>23</v>
      </c>
    </row>
    <row r="1470" customFormat="false" ht="15" hidden="false" customHeight="false" outlineLevel="0" collapsed="false">
      <c r="A1470" s="5" t="n">
        <v>1469</v>
      </c>
      <c r="B1470" s="5" t="s">
        <v>298</v>
      </c>
      <c r="C1470" s="5" t="s">
        <v>221</v>
      </c>
      <c r="D1470" s="5" t="s">
        <v>2781</v>
      </c>
      <c r="E1470" s="5" t="s">
        <v>2744</v>
      </c>
      <c r="F1470" s="5"/>
      <c r="G1470" s="5" t="str">
        <f aca="false">IF(EXACT(D1470,E1470),"Tetap","Diubah")</f>
        <v>Diubah</v>
      </c>
      <c r="H1470" s="5" t="s">
        <v>23</v>
      </c>
    </row>
    <row r="1471" customFormat="false" ht="15" hidden="false" customHeight="false" outlineLevel="0" collapsed="false">
      <c r="A1471" s="5" t="n">
        <v>1470</v>
      </c>
      <c r="B1471" s="5" t="s">
        <v>298</v>
      </c>
      <c r="C1471" s="5" t="s">
        <v>221</v>
      </c>
      <c r="D1471" s="5" t="s">
        <v>2782</v>
      </c>
      <c r="E1471" s="5" t="s">
        <v>2783</v>
      </c>
      <c r="F1471" s="5"/>
      <c r="G1471" s="5" t="str">
        <f aca="false">IF(EXACT(D1471,E1471),"Tetap","Diubah")</f>
        <v>Diubah</v>
      </c>
      <c r="H1471" s="5" t="s">
        <v>23</v>
      </c>
    </row>
    <row r="1472" customFormat="false" ht="15" hidden="false" customHeight="false" outlineLevel="0" collapsed="false">
      <c r="A1472" s="5" t="n">
        <v>1471</v>
      </c>
      <c r="B1472" s="5" t="s">
        <v>298</v>
      </c>
      <c r="C1472" s="5" t="s">
        <v>221</v>
      </c>
      <c r="D1472" s="5" t="s">
        <v>2784</v>
      </c>
      <c r="E1472" s="5" t="s">
        <v>2785</v>
      </c>
      <c r="F1472" s="5"/>
      <c r="G1472" s="5" t="str">
        <f aca="false">IF(EXACT(D1472,E1472),"Tetap","Diubah")</f>
        <v>Diubah</v>
      </c>
      <c r="H1472" s="5" t="s">
        <v>23</v>
      </c>
    </row>
    <row r="1473" customFormat="false" ht="15" hidden="false" customHeight="false" outlineLevel="0" collapsed="false">
      <c r="A1473" s="5" t="n">
        <v>1472</v>
      </c>
      <c r="B1473" s="5" t="s">
        <v>298</v>
      </c>
      <c r="C1473" s="5" t="s">
        <v>221</v>
      </c>
      <c r="D1473" s="5" t="s">
        <v>2786</v>
      </c>
      <c r="E1473" s="5" t="s">
        <v>2754</v>
      </c>
      <c r="F1473" s="5"/>
      <c r="G1473" s="5" t="str">
        <f aca="false">IF(EXACT(D1473,E1473),"Tetap","Diubah")</f>
        <v>Diubah</v>
      </c>
      <c r="H1473" s="5" t="s">
        <v>23</v>
      </c>
    </row>
    <row r="1474" customFormat="false" ht="15" hidden="false" customHeight="false" outlineLevel="0" collapsed="false">
      <c r="A1474" s="5" t="n">
        <v>1473</v>
      </c>
      <c r="B1474" s="5" t="s">
        <v>298</v>
      </c>
      <c r="C1474" s="5" t="s">
        <v>221</v>
      </c>
      <c r="D1474" s="5" t="s">
        <v>2787</v>
      </c>
      <c r="E1474" s="5" t="s">
        <v>2758</v>
      </c>
      <c r="F1474" s="5"/>
      <c r="G1474" s="5" t="str">
        <f aca="false">IF(EXACT(D1474,E1474),"Tetap","Diubah")</f>
        <v>Diubah</v>
      </c>
      <c r="H1474" s="5" t="s">
        <v>23</v>
      </c>
    </row>
    <row r="1475" customFormat="false" ht="15" hidden="false" customHeight="false" outlineLevel="0" collapsed="false">
      <c r="A1475" s="5" t="n">
        <v>1474</v>
      </c>
      <c r="B1475" s="5" t="s">
        <v>298</v>
      </c>
      <c r="C1475" s="5" t="s">
        <v>221</v>
      </c>
      <c r="D1475" s="5" t="s">
        <v>2788</v>
      </c>
      <c r="E1475" s="5" t="s">
        <v>2760</v>
      </c>
      <c r="F1475" s="5"/>
      <c r="G1475" s="5" t="str">
        <f aca="false">IF(EXACT(D1475,E1475),"Tetap","Diubah")</f>
        <v>Diubah</v>
      </c>
      <c r="H1475" s="5" t="s">
        <v>23</v>
      </c>
    </row>
    <row r="1476" customFormat="false" ht="15" hidden="false" customHeight="false" outlineLevel="0" collapsed="false">
      <c r="A1476" s="5" t="n">
        <v>1475</v>
      </c>
      <c r="B1476" s="5" t="s">
        <v>298</v>
      </c>
      <c r="C1476" s="5" t="s">
        <v>221</v>
      </c>
      <c r="D1476" s="5" t="s">
        <v>2789</v>
      </c>
      <c r="E1476" s="5" t="s">
        <v>114</v>
      </c>
      <c r="F1476" s="5"/>
      <c r="G1476" s="5" t="str">
        <f aca="false">IF(EXACT(D1476,E1476),"Tetap","Diubah")</f>
        <v>Diubah</v>
      </c>
      <c r="H1476" s="5" t="s">
        <v>23</v>
      </c>
    </row>
    <row r="1477" customFormat="false" ht="15" hidden="false" customHeight="false" outlineLevel="0" collapsed="false">
      <c r="A1477" s="5" t="n">
        <v>1476</v>
      </c>
      <c r="B1477" s="5" t="s">
        <v>298</v>
      </c>
      <c r="C1477" s="5" t="s">
        <v>221</v>
      </c>
      <c r="D1477" s="5" t="s">
        <v>2790</v>
      </c>
      <c r="E1477" s="5" t="s">
        <v>297</v>
      </c>
      <c r="F1477" s="5"/>
      <c r="G1477" s="5" t="str">
        <f aca="false">IF(EXACT(D1477,E1477),"Tetap","Diubah")</f>
        <v>Diubah</v>
      </c>
      <c r="H1477" s="5" t="s">
        <v>23</v>
      </c>
    </row>
    <row r="1478" customFormat="false" ht="15" hidden="false" customHeight="false" outlineLevel="0" collapsed="false">
      <c r="A1478" s="5" t="n">
        <v>1477</v>
      </c>
      <c r="B1478" s="5" t="s">
        <v>298</v>
      </c>
      <c r="C1478" s="5" t="s">
        <v>221</v>
      </c>
      <c r="D1478" s="5" t="s">
        <v>2791</v>
      </c>
      <c r="E1478" s="5" t="s">
        <v>2766</v>
      </c>
      <c r="F1478" s="5"/>
      <c r="G1478" s="5" t="str">
        <f aca="false">IF(EXACT(D1478,E1478),"Tetap","Diubah")</f>
        <v>Diubah</v>
      </c>
      <c r="H1478" s="5" t="s">
        <v>23</v>
      </c>
    </row>
    <row r="1479" customFormat="false" ht="15" hidden="false" customHeight="false" outlineLevel="0" collapsed="false">
      <c r="A1479" s="5" t="n">
        <v>1478</v>
      </c>
      <c r="B1479" s="5" t="s">
        <v>298</v>
      </c>
      <c r="C1479" s="5" t="s">
        <v>221</v>
      </c>
      <c r="D1479" s="5" t="s">
        <v>2792</v>
      </c>
      <c r="E1479" s="5" t="s">
        <v>2768</v>
      </c>
      <c r="F1479" s="5"/>
      <c r="G1479" s="5" t="str">
        <f aca="false">IF(EXACT(D1479,E1479),"Tetap","Diubah")</f>
        <v>Diubah</v>
      </c>
      <c r="H1479" s="5" t="s">
        <v>23</v>
      </c>
    </row>
    <row r="1480" customFormat="false" ht="15" hidden="false" customHeight="false" outlineLevel="0" collapsed="false">
      <c r="A1480" s="5" t="n">
        <v>1479</v>
      </c>
      <c r="B1480" s="5" t="s">
        <v>298</v>
      </c>
      <c r="C1480" s="5" t="s">
        <v>307</v>
      </c>
      <c r="D1480" s="5" t="s">
        <v>2793</v>
      </c>
      <c r="E1480" s="5" t="s">
        <v>314</v>
      </c>
      <c r="F1480" s="5"/>
      <c r="G1480" s="5" t="str">
        <f aca="false">IF(EXACT(D1480,E1480),"Tetap","Diubah")</f>
        <v>Diubah</v>
      </c>
      <c r="H1480" s="5" t="s">
        <v>23</v>
      </c>
    </row>
    <row r="1481" customFormat="false" ht="15" hidden="false" customHeight="false" outlineLevel="0" collapsed="false">
      <c r="A1481" s="5" t="n">
        <v>1480</v>
      </c>
      <c r="B1481" s="5" t="s">
        <v>298</v>
      </c>
      <c r="C1481" s="5" t="s">
        <v>307</v>
      </c>
      <c r="D1481" s="5" t="s">
        <v>971</v>
      </c>
      <c r="E1481" s="5" t="s">
        <v>1024</v>
      </c>
      <c r="F1481" s="5"/>
      <c r="G1481" s="5" t="str">
        <f aca="false">IF(EXACT(D1481,E1481),"Tetap","Diubah")</f>
        <v>Diubah</v>
      </c>
      <c r="H1481" s="5" t="s">
        <v>23</v>
      </c>
    </row>
    <row r="1482" customFormat="false" ht="15" hidden="false" customHeight="false" outlineLevel="0" collapsed="false">
      <c r="A1482" s="5" t="n">
        <v>1481</v>
      </c>
      <c r="B1482" s="5" t="s">
        <v>298</v>
      </c>
      <c r="C1482" s="5" t="s">
        <v>20</v>
      </c>
      <c r="D1482" s="5" t="s">
        <v>2794</v>
      </c>
      <c r="E1482" s="5" t="s">
        <v>282</v>
      </c>
      <c r="F1482" s="5"/>
      <c r="G1482" s="5" t="str">
        <f aca="false">IF(EXACT(D1482,E1482),"Tetap","Diubah")</f>
        <v>Diubah</v>
      </c>
      <c r="H1482" s="5" t="s">
        <v>23</v>
      </c>
    </row>
    <row r="1483" customFormat="false" ht="15" hidden="false" customHeight="false" outlineLevel="0" collapsed="false">
      <c r="A1483" s="5" t="n">
        <v>1482</v>
      </c>
      <c r="B1483" s="5" t="s">
        <v>298</v>
      </c>
      <c r="C1483" s="5" t="s">
        <v>115</v>
      </c>
      <c r="D1483" s="5" t="s">
        <v>2795</v>
      </c>
      <c r="E1483" s="5" t="s">
        <v>2264</v>
      </c>
      <c r="F1483" s="5" t="s">
        <v>2796</v>
      </c>
      <c r="G1483" s="5" t="str">
        <f aca="false">IF(EXACT(D1483,E1483),"Tetap","Diubah")</f>
        <v>Diubah</v>
      </c>
      <c r="H1483" s="5" t="s">
        <v>23</v>
      </c>
    </row>
    <row r="1484" customFormat="false" ht="15" hidden="false" customHeight="false" outlineLevel="0" collapsed="false">
      <c r="A1484" s="5" t="n">
        <v>1483</v>
      </c>
      <c r="B1484" s="5" t="s">
        <v>298</v>
      </c>
      <c r="C1484" s="5" t="s">
        <v>20</v>
      </c>
      <c r="D1484" s="5" t="s">
        <v>2797</v>
      </c>
      <c r="E1484" s="5" t="s">
        <v>2798</v>
      </c>
      <c r="F1484" s="5"/>
      <c r="G1484" s="5" t="str">
        <f aca="false">IF(EXACT(D1484,E1484),"Tetap","Diubah")</f>
        <v>Diubah</v>
      </c>
      <c r="H1484" s="5" t="s">
        <v>23</v>
      </c>
    </row>
    <row r="1485" customFormat="false" ht="15" hidden="false" customHeight="false" outlineLevel="0" collapsed="false">
      <c r="A1485" s="5" t="n">
        <v>1484</v>
      </c>
      <c r="B1485" s="5" t="s">
        <v>298</v>
      </c>
      <c r="C1485" s="5" t="s">
        <v>20</v>
      </c>
      <c r="D1485" s="5" t="s">
        <v>2799</v>
      </c>
      <c r="E1485" s="5" t="s">
        <v>2800</v>
      </c>
      <c r="F1485" s="5"/>
      <c r="G1485" s="5" t="str">
        <f aca="false">IF(EXACT(D1485,E1485),"Tetap","Diubah")</f>
        <v>Diubah</v>
      </c>
      <c r="H1485" s="5" t="s">
        <v>23</v>
      </c>
    </row>
    <row r="1486" customFormat="false" ht="15" hidden="false" customHeight="false" outlineLevel="0" collapsed="false">
      <c r="A1486" s="5" t="n">
        <v>1485</v>
      </c>
      <c r="B1486" s="5" t="s">
        <v>298</v>
      </c>
      <c r="C1486" s="5" t="s">
        <v>20</v>
      </c>
      <c r="D1486" s="5" t="s">
        <v>2801</v>
      </c>
      <c r="E1486" s="5" t="s">
        <v>21</v>
      </c>
      <c r="F1486" s="5" t="s">
        <v>2802</v>
      </c>
      <c r="G1486" s="5" t="str">
        <f aca="false">IF(EXACT(D1486,E1486),"Tetap","Diubah")</f>
        <v>Diubah</v>
      </c>
      <c r="H1486" s="5" t="s">
        <v>23</v>
      </c>
    </row>
    <row r="1487" customFormat="false" ht="15" hidden="false" customHeight="false" outlineLevel="0" collapsed="false">
      <c r="A1487" s="5" t="n">
        <v>1486</v>
      </c>
      <c r="B1487" s="5" t="s">
        <v>298</v>
      </c>
      <c r="C1487" s="5" t="s">
        <v>115</v>
      </c>
      <c r="D1487" s="5" t="s">
        <v>2803</v>
      </c>
      <c r="E1487" s="5" t="s">
        <v>2804</v>
      </c>
      <c r="F1487" s="5"/>
      <c r="G1487" s="5" t="str">
        <f aca="false">IF(EXACT(D1487,E1487),"Tetap","Diubah")</f>
        <v>Diubah</v>
      </c>
      <c r="H1487" s="5" t="s">
        <v>23</v>
      </c>
    </row>
    <row r="1488" customFormat="false" ht="15" hidden="false" customHeight="false" outlineLevel="0" collapsed="false">
      <c r="A1488" s="5" t="n">
        <v>1487</v>
      </c>
      <c r="B1488" s="5" t="s">
        <v>298</v>
      </c>
      <c r="C1488" s="5" t="s">
        <v>115</v>
      </c>
      <c r="D1488" s="5" t="s">
        <v>2271</v>
      </c>
      <c r="E1488" s="5" t="s">
        <v>1515</v>
      </c>
      <c r="F1488" s="5"/>
      <c r="G1488" s="5" t="str">
        <f aca="false">IF(EXACT(D1488,E1488),"Tetap","Diubah")</f>
        <v>Diubah</v>
      </c>
      <c r="H1488" s="5" t="s">
        <v>23</v>
      </c>
    </row>
    <row r="1489" customFormat="false" ht="15" hidden="false" customHeight="false" outlineLevel="0" collapsed="false">
      <c r="A1489" s="5" t="n">
        <v>1488</v>
      </c>
      <c r="B1489" s="5" t="s">
        <v>298</v>
      </c>
      <c r="C1489" s="5" t="s">
        <v>115</v>
      </c>
      <c r="D1489" s="5" t="s">
        <v>2805</v>
      </c>
      <c r="E1489" s="5" t="s">
        <v>2806</v>
      </c>
      <c r="F1489" s="5"/>
      <c r="G1489" s="5" t="str">
        <f aca="false">IF(EXACT(D1489,E1489),"Tetap","Diubah")</f>
        <v>Diubah</v>
      </c>
      <c r="H1489" s="5" t="s">
        <v>23</v>
      </c>
    </row>
    <row r="1490" customFormat="false" ht="15" hidden="false" customHeight="false" outlineLevel="0" collapsed="false">
      <c r="A1490" s="5" t="n">
        <v>1489</v>
      </c>
      <c r="B1490" s="5" t="s">
        <v>298</v>
      </c>
      <c r="C1490" s="5" t="s">
        <v>115</v>
      </c>
      <c r="D1490" s="5" t="s">
        <v>2807</v>
      </c>
      <c r="E1490" s="5" t="s">
        <v>2808</v>
      </c>
      <c r="F1490" s="5"/>
      <c r="G1490" s="5" t="str">
        <f aca="false">IF(EXACT(D1490,E1490),"Tetap","Diubah")</f>
        <v>Diubah</v>
      </c>
      <c r="H1490" s="5" t="s">
        <v>23</v>
      </c>
    </row>
    <row r="1491" customFormat="false" ht="15" hidden="false" customHeight="false" outlineLevel="0" collapsed="false">
      <c r="A1491" s="5" t="n">
        <v>1490</v>
      </c>
      <c r="B1491" s="5" t="s">
        <v>298</v>
      </c>
      <c r="C1491" s="5" t="s">
        <v>115</v>
      </c>
      <c r="D1491" s="5" t="s">
        <v>2809</v>
      </c>
      <c r="E1491" s="5" t="s">
        <v>2810</v>
      </c>
      <c r="F1491" s="5" t="s">
        <v>2811</v>
      </c>
      <c r="G1491" s="5" t="str">
        <f aca="false">IF(EXACT(D1491,E1491),"Tetap","Diubah")</f>
        <v>Diubah</v>
      </c>
      <c r="H1491" s="5" t="s">
        <v>23</v>
      </c>
    </row>
    <row r="1492" customFormat="false" ht="15" hidden="false" customHeight="false" outlineLevel="0" collapsed="false">
      <c r="A1492" s="5" t="n">
        <v>1491</v>
      </c>
      <c r="B1492" s="5" t="s">
        <v>298</v>
      </c>
      <c r="C1492" s="5" t="s">
        <v>20</v>
      </c>
      <c r="D1492" s="5" t="s">
        <v>2812</v>
      </c>
      <c r="E1492" s="5" t="s">
        <v>2804</v>
      </c>
      <c r="F1492" s="5"/>
      <c r="G1492" s="5" t="str">
        <f aca="false">IF(EXACT(D1492,E1492),"Tetap","Diubah")</f>
        <v>Diubah</v>
      </c>
      <c r="H1492" s="5" t="s">
        <v>23</v>
      </c>
    </row>
    <row r="1493" customFormat="false" ht="15" hidden="false" customHeight="false" outlineLevel="0" collapsed="false">
      <c r="A1493" s="5" t="n">
        <v>1492</v>
      </c>
      <c r="B1493" s="5" t="s">
        <v>298</v>
      </c>
      <c r="C1493" s="5" t="s">
        <v>20</v>
      </c>
      <c r="D1493" s="5" t="s">
        <v>2813</v>
      </c>
      <c r="E1493" s="5" t="s">
        <v>2814</v>
      </c>
      <c r="F1493" s="5"/>
      <c r="G1493" s="5" t="str">
        <f aca="false">IF(EXACT(D1493,E1493),"Tetap","Diubah")</f>
        <v>Diubah</v>
      </c>
      <c r="H1493" s="5" t="s">
        <v>23</v>
      </c>
    </row>
    <row r="1494" customFormat="false" ht="15" hidden="false" customHeight="false" outlineLevel="0" collapsed="false">
      <c r="A1494" s="5" t="n">
        <v>1493</v>
      </c>
      <c r="B1494" s="5" t="s">
        <v>298</v>
      </c>
      <c r="C1494" s="5" t="s">
        <v>283</v>
      </c>
      <c r="D1494" s="5" t="s">
        <v>2815</v>
      </c>
      <c r="E1494" s="5" t="s">
        <v>2815</v>
      </c>
      <c r="F1494" s="5" t="s">
        <v>28</v>
      </c>
      <c r="G1494" s="5" t="str">
        <f aca="false">IF(EXACT(D1494,E1494),"Tetap","Diubah")</f>
        <v>Tetap</v>
      </c>
      <c r="H1494" s="5" t="s">
        <v>23</v>
      </c>
    </row>
    <row r="1495" customFormat="false" ht="15" hidden="false" customHeight="false" outlineLevel="0" collapsed="false">
      <c r="A1495" s="5" t="n">
        <v>1494</v>
      </c>
      <c r="B1495" s="5" t="s">
        <v>298</v>
      </c>
      <c r="C1495" s="5" t="s">
        <v>20</v>
      </c>
      <c r="D1495" s="5" t="s">
        <v>2816</v>
      </c>
      <c r="E1495" s="5" t="s">
        <v>2806</v>
      </c>
      <c r="F1495" s="5"/>
      <c r="G1495" s="5" t="str">
        <f aca="false">IF(EXACT(D1495,E1495),"Tetap","Diubah")</f>
        <v>Diubah</v>
      </c>
      <c r="H1495" s="5" t="s">
        <v>23</v>
      </c>
    </row>
    <row r="1496" customFormat="false" ht="15" hidden="false" customHeight="false" outlineLevel="0" collapsed="false">
      <c r="A1496" s="5" t="n">
        <v>1495</v>
      </c>
      <c r="B1496" s="5" t="s">
        <v>298</v>
      </c>
      <c r="C1496" s="5" t="s">
        <v>20</v>
      </c>
      <c r="D1496" s="5" t="s">
        <v>2817</v>
      </c>
      <c r="E1496" s="5" t="s">
        <v>2818</v>
      </c>
      <c r="F1496" s="5" t="s">
        <v>2819</v>
      </c>
      <c r="G1496" s="5" t="str">
        <f aca="false">IF(EXACT(D1496,E1496),"Tetap","Diubah")</f>
        <v>Diubah</v>
      </c>
      <c r="H1496" s="5" t="s">
        <v>23</v>
      </c>
    </row>
    <row r="1497" customFormat="false" ht="15" hidden="false" customHeight="false" outlineLevel="0" collapsed="false">
      <c r="A1497" s="5" t="n">
        <v>1496</v>
      </c>
      <c r="B1497" s="5" t="s">
        <v>298</v>
      </c>
      <c r="C1497" s="5" t="s">
        <v>283</v>
      </c>
      <c r="D1497" s="5" t="s">
        <v>2820</v>
      </c>
      <c r="E1497" s="5" t="s">
        <v>2821</v>
      </c>
      <c r="F1497" s="5"/>
      <c r="G1497" s="5" t="str">
        <f aca="false">IF(EXACT(D1497,E1497),"Tetap","Diubah")</f>
        <v>Diubah</v>
      </c>
      <c r="H1497" s="5" t="s">
        <v>23</v>
      </c>
    </row>
    <row r="1498" customFormat="false" ht="15" hidden="false" customHeight="false" outlineLevel="0" collapsed="false">
      <c r="A1498" s="5" t="n">
        <v>1497</v>
      </c>
      <c r="B1498" s="5" t="s">
        <v>298</v>
      </c>
      <c r="C1498" s="5" t="s">
        <v>20</v>
      </c>
      <c r="D1498" s="5" t="s">
        <v>2822</v>
      </c>
      <c r="E1498" s="5" t="s">
        <v>2823</v>
      </c>
      <c r="F1498" s="5"/>
      <c r="G1498" s="5" t="str">
        <f aca="false">IF(EXACT(D1498,E1498),"Tetap","Diubah")</f>
        <v>Diubah</v>
      </c>
      <c r="H1498" s="5" t="s">
        <v>23</v>
      </c>
    </row>
    <row r="1499" customFormat="false" ht="15" hidden="false" customHeight="false" outlineLevel="0" collapsed="false">
      <c r="A1499" s="5" t="n">
        <v>1498</v>
      </c>
      <c r="B1499" s="5" t="s">
        <v>298</v>
      </c>
      <c r="C1499" s="5" t="s">
        <v>20</v>
      </c>
      <c r="D1499" s="5" t="s">
        <v>2824</v>
      </c>
      <c r="E1499" s="5" t="s">
        <v>2764</v>
      </c>
      <c r="F1499" s="5"/>
      <c r="G1499" s="5" t="str">
        <f aca="false">IF(EXACT(D1499,E1499),"Tetap","Diubah")</f>
        <v>Diubah</v>
      </c>
      <c r="H1499" s="5" t="s">
        <v>23</v>
      </c>
    </row>
    <row r="1500" customFormat="false" ht="15" hidden="false" customHeight="false" outlineLevel="0" collapsed="false">
      <c r="A1500" s="5" t="n">
        <v>1499</v>
      </c>
      <c r="B1500" s="5" t="s">
        <v>298</v>
      </c>
      <c r="C1500" s="5" t="s">
        <v>60</v>
      </c>
      <c r="D1500" s="5" t="s">
        <v>2825</v>
      </c>
      <c r="E1500" s="5" t="s">
        <v>2826</v>
      </c>
      <c r="F1500" s="5"/>
      <c r="G1500" s="5" t="str">
        <f aca="false">IF(EXACT(D1500,E1500),"Tetap","Diubah")</f>
        <v>Diubah</v>
      </c>
      <c r="H1500" s="5"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2"/>
    <col collapsed="false" customWidth="true" hidden="false" outlineLevel="0" max="3" min="3" style="0" width="46"/>
  </cols>
  <sheetData>
    <row r="1" customFormat="false" ht="15" hidden="false" customHeight="false" outlineLevel="0" collapsed="false">
      <c r="A1" s="6" t="s">
        <v>2827</v>
      </c>
      <c r="B1" s="6" t="s">
        <v>2828</v>
      </c>
      <c r="C1" s="6" t="s">
        <v>16</v>
      </c>
    </row>
    <row r="2" customFormat="false" ht="15" hidden="false" customHeight="false" outlineLevel="0" collapsed="false">
      <c r="A2" s="5" t="s">
        <v>24</v>
      </c>
      <c r="B2" s="5" t="s">
        <v>25</v>
      </c>
      <c r="C2" s="5" t="s">
        <v>2829</v>
      </c>
    </row>
    <row r="3" customFormat="false" ht="15" hidden="false" customHeight="false" outlineLevel="0" collapsed="false">
      <c r="A3" s="5" t="s">
        <v>2830</v>
      </c>
      <c r="B3" s="5" t="s">
        <v>2831</v>
      </c>
      <c r="C3" s="5" t="s">
        <v>2832</v>
      </c>
    </row>
    <row r="4" customFormat="false" ht="15" hidden="false" customHeight="false" outlineLevel="0" collapsed="false">
      <c r="A4" s="5" t="s">
        <v>2833</v>
      </c>
      <c r="B4" s="5" t="s">
        <v>314</v>
      </c>
      <c r="C4" s="5" t="s">
        <v>2834</v>
      </c>
    </row>
    <row r="5" customFormat="false" ht="15" hidden="false" customHeight="false" outlineLevel="0" collapsed="false">
      <c r="A5" s="5" t="s">
        <v>2835</v>
      </c>
      <c r="B5" s="5" t="s">
        <v>734</v>
      </c>
      <c r="C5" s="5"/>
    </row>
    <row r="6" customFormat="false" ht="15" hidden="false" customHeight="false" outlineLevel="0" collapsed="false">
      <c r="A6" s="5" t="s">
        <v>2836</v>
      </c>
      <c r="B6" s="5" t="s">
        <v>301</v>
      </c>
      <c r="C6" s="5" t="s">
        <v>2837</v>
      </c>
    </row>
    <row r="7" customFormat="false" ht="15" hidden="false" customHeight="false" outlineLevel="0" collapsed="false">
      <c r="A7" s="5" t="s">
        <v>475</v>
      </c>
      <c r="B7" s="5" t="s">
        <v>476</v>
      </c>
      <c r="C7" s="5" t="s">
        <v>2838</v>
      </c>
    </row>
    <row r="8" customFormat="false" ht="15" hidden="false" customHeight="false" outlineLevel="0" collapsed="false">
      <c r="A8" s="5" t="s">
        <v>2839</v>
      </c>
      <c r="B8" s="5" t="s">
        <v>2840</v>
      </c>
      <c r="C8" s="5" t="s">
        <v>2841</v>
      </c>
    </row>
    <row r="9" customFormat="false" ht="15" hidden="false" customHeight="false" outlineLevel="0" collapsed="false">
      <c r="A9" s="5" t="s">
        <v>2842</v>
      </c>
      <c r="B9" s="5" t="s">
        <v>323</v>
      </c>
      <c r="C9" s="5"/>
    </row>
    <row r="10" customFormat="false" ht="15" hidden="false" customHeight="false" outlineLevel="0" collapsed="false">
      <c r="A10" s="5" t="s">
        <v>308</v>
      </c>
      <c r="B10" s="5" t="s">
        <v>2843</v>
      </c>
      <c r="C10" s="5"/>
    </row>
    <row r="11" customFormat="false" ht="15" hidden="false" customHeight="false" outlineLevel="0" collapsed="false">
      <c r="A11" s="5" t="s">
        <v>2844</v>
      </c>
      <c r="B11" s="5" t="s">
        <v>297</v>
      </c>
      <c r="C11" s="5" t="s">
        <v>2845</v>
      </c>
    </row>
    <row r="12" customFormat="false" ht="15" hidden="false" customHeight="false" outlineLevel="0" collapsed="false">
      <c r="A12" s="5" t="s">
        <v>2846</v>
      </c>
      <c r="B12" s="5" t="s">
        <v>2847</v>
      </c>
      <c r="C12" s="5"/>
    </row>
    <row r="13" customFormat="false" ht="15" hidden="false" customHeight="false" outlineLevel="0" collapsed="false">
      <c r="A13" s="5" t="s">
        <v>298</v>
      </c>
      <c r="B13" s="5" t="s">
        <v>299</v>
      </c>
      <c r="C13" s="5"/>
    </row>
    <row r="14" customFormat="false" ht="15" hidden="false" customHeight="false" outlineLevel="0" collapsed="false">
      <c r="A14" s="5" t="s">
        <v>2848</v>
      </c>
      <c r="B14" s="5" t="s">
        <v>2849</v>
      </c>
      <c r="C14" s="5"/>
    </row>
    <row r="15" customFormat="false" ht="15" hidden="false" customHeight="false" outlineLevel="0" collapsed="false">
      <c r="A15" s="5" t="s">
        <v>2850</v>
      </c>
      <c r="B15" s="5" t="s">
        <v>2851</v>
      </c>
      <c r="C15" s="5"/>
    </row>
    <row r="16" customFormat="false" ht="15" hidden="false" customHeight="false" outlineLevel="0" collapsed="false">
      <c r="A16" s="5" t="s">
        <v>2852</v>
      </c>
      <c r="B16" s="5" t="s">
        <v>2780</v>
      </c>
      <c r="C16" s="5"/>
    </row>
    <row r="17" customFormat="false" ht="15" hidden="false" customHeight="false" outlineLevel="0" collapsed="false">
      <c r="A17" s="5" t="s">
        <v>119</v>
      </c>
      <c r="B17" s="5" t="s">
        <v>120</v>
      </c>
      <c r="C17" s="5"/>
    </row>
    <row r="18" customFormat="false" ht="15" hidden="false" customHeight="false" outlineLevel="0" collapsed="false">
      <c r="A18" s="5" t="s">
        <v>192</v>
      </c>
      <c r="B18" s="5" t="s">
        <v>193</v>
      </c>
      <c r="C18" s="5"/>
    </row>
    <row r="19" customFormat="false" ht="15" hidden="false" customHeight="false" outlineLevel="0" collapsed="false">
      <c r="A19" s="5" t="s">
        <v>2853</v>
      </c>
      <c r="B19" s="5" t="s">
        <v>204</v>
      </c>
      <c r="C19" s="5"/>
    </row>
    <row r="20" customFormat="false" ht="15" hidden="false" customHeight="false" outlineLevel="0" collapsed="false">
      <c r="A20" s="5" t="s">
        <v>194</v>
      </c>
      <c r="B20" s="5" t="s">
        <v>195</v>
      </c>
      <c r="C20" s="5"/>
    </row>
    <row r="21" customFormat="false" ht="15" hidden="false" customHeight="false" outlineLevel="0" collapsed="false">
      <c r="A21" s="5" t="s">
        <v>2854</v>
      </c>
      <c r="B21" s="5" t="s">
        <v>2855</v>
      </c>
      <c r="C21" s="5" t="s">
        <v>2856</v>
      </c>
    </row>
    <row r="22" customFormat="false" ht="15" hidden="false" customHeight="false" outlineLevel="0" collapsed="false">
      <c r="A22" s="5" t="s">
        <v>2857</v>
      </c>
      <c r="B22" s="5" t="s">
        <v>295</v>
      </c>
      <c r="C22" s="5"/>
    </row>
    <row r="23" customFormat="false" ht="15" hidden="false" customHeight="false" outlineLevel="0" collapsed="false">
      <c r="A23" s="5" t="s">
        <v>2858</v>
      </c>
      <c r="B23" s="5" t="s">
        <v>2859</v>
      </c>
      <c r="C23" s="5" t="s">
        <v>2860</v>
      </c>
    </row>
    <row r="24" customFormat="false" ht="15" hidden="false" customHeight="false" outlineLevel="0" collapsed="false">
      <c r="A24" s="5" t="s">
        <v>30</v>
      </c>
      <c r="B24" s="5" t="s">
        <v>31</v>
      </c>
      <c r="C24" s="5"/>
    </row>
    <row r="25" customFormat="false" ht="15" hidden="false" customHeight="false" outlineLevel="0" collapsed="false">
      <c r="A25" s="5" t="s">
        <v>1829</v>
      </c>
      <c r="B25" s="5" t="s">
        <v>2861</v>
      </c>
      <c r="C25" s="5"/>
    </row>
    <row r="26" customFormat="false" ht="15" hidden="false" customHeight="false" outlineLevel="0" collapsed="false">
      <c r="A26" s="5" t="s">
        <v>2862</v>
      </c>
      <c r="B26" s="5" t="s">
        <v>943</v>
      </c>
      <c r="C26" s="5"/>
    </row>
    <row r="27" customFormat="false" ht="15" hidden="false" customHeight="false" outlineLevel="0" collapsed="false">
      <c r="A27" s="5" t="s">
        <v>2863</v>
      </c>
      <c r="B27" s="5" t="s">
        <v>1137</v>
      </c>
      <c r="C27" s="5"/>
    </row>
    <row r="28" customFormat="false" ht="15" hidden="false" customHeight="false" outlineLevel="0" collapsed="false">
      <c r="A28" s="5" t="s">
        <v>2864</v>
      </c>
      <c r="B28" s="5" t="s">
        <v>1172</v>
      </c>
      <c r="C28" s="5" t="s">
        <v>2865</v>
      </c>
    </row>
    <row r="29" customFormat="false" ht="15" hidden="false" customHeight="false" outlineLevel="0" collapsed="false">
      <c r="A29" s="5" t="s">
        <v>2866</v>
      </c>
      <c r="B29" s="5" t="s">
        <v>1145</v>
      </c>
      <c r="C29" s="5"/>
    </row>
    <row r="30" customFormat="false" ht="15" hidden="false" customHeight="false" outlineLevel="0" collapsed="false">
      <c r="A30" s="5" t="s">
        <v>1240</v>
      </c>
      <c r="B30" s="5" t="s">
        <v>2867</v>
      </c>
      <c r="C30" s="5"/>
    </row>
    <row r="31" customFormat="false" ht="15" hidden="false" customHeight="false" outlineLevel="0" collapsed="false">
      <c r="A31" s="5" t="s">
        <v>2868</v>
      </c>
      <c r="B31" s="5" t="s">
        <v>2869</v>
      </c>
      <c r="C31" s="5" t="s">
        <v>2870</v>
      </c>
    </row>
    <row r="32" customFormat="false" ht="15" hidden="false" customHeight="false" outlineLevel="0" collapsed="false">
      <c r="A32" s="5" t="s">
        <v>2871</v>
      </c>
      <c r="B32" s="5" t="s">
        <v>2872</v>
      </c>
      <c r="C32" s="5" t="s">
        <v>2873</v>
      </c>
    </row>
    <row r="33" customFormat="false" ht="15" hidden="false" customHeight="false" outlineLevel="0" collapsed="false">
      <c r="A33" s="5" t="s">
        <v>2874</v>
      </c>
      <c r="B33" s="5" t="s">
        <v>2875</v>
      </c>
      <c r="C33" s="5" t="s">
        <v>1654</v>
      </c>
    </row>
    <row r="34" customFormat="false" ht="23.85" hidden="false" customHeight="false" outlineLevel="0" collapsed="false">
      <c r="A34" s="5" t="s">
        <v>2876</v>
      </c>
      <c r="B34" s="5" t="s">
        <v>2877</v>
      </c>
      <c r="C34" s="5"/>
    </row>
    <row r="35" customFormat="false" ht="15" hidden="false" customHeight="false" outlineLevel="0" collapsed="false">
      <c r="A35" s="5" t="s">
        <v>2878</v>
      </c>
      <c r="B35" s="5" t="s">
        <v>2879</v>
      </c>
      <c r="C35" s="5"/>
    </row>
    <row r="36" customFormat="false" ht="15" hidden="false" customHeight="false" outlineLevel="0" collapsed="false">
      <c r="A36" s="5" t="s">
        <v>2880</v>
      </c>
      <c r="B36" s="5" t="s">
        <v>692</v>
      </c>
      <c r="C36" s="5"/>
    </row>
    <row r="37" customFormat="false" ht="15" hidden="false" customHeight="false" outlineLevel="0" collapsed="false">
      <c r="A37" s="5" t="s">
        <v>2881</v>
      </c>
      <c r="B37" s="5" t="s">
        <v>2882</v>
      </c>
      <c r="C37" s="5" t="s">
        <v>2883</v>
      </c>
    </row>
    <row r="38" customFormat="false" ht="15" hidden="false" customHeight="false" outlineLevel="0" collapsed="false">
      <c r="A38" s="5" t="s">
        <v>2884</v>
      </c>
      <c r="B38" s="5" t="s">
        <v>2885</v>
      </c>
      <c r="C38" s="5" t="s">
        <v>2886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
    <col collapsed="false" customWidth="true" hidden="false" outlineLevel="0" max="4" min="3" style="0" width="10"/>
    <col collapsed="false" customWidth="true" hidden="false" outlineLevel="0" max="5" min="5" style="0" width="22"/>
    <col collapsed="false" customWidth="true" hidden="false" outlineLevel="0" max="6" min="6" style="0" width="12"/>
    <col collapsed="false" customWidth="true" hidden="false" outlineLevel="0" max="7" min="7" style="0" width="14"/>
  </cols>
  <sheetData>
    <row r="1" customFormat="false" ht="15" hidden="false" customHeight="false" outlineLevel="0" collapsed="false">
      <c r="A1" s="4" t="s">
        <v>12</v>
      </c>
      <c r="B1" s="4" t="s">
        <v>2887</v>
      </c>
      <c r="C1" s="4" t="s">
        <v>2888</v>
      </c>
      <c r="D1" s="4" t="s">
        <v>28</v>
      </c>
      <c r="E1" s="4" t="s">
        <v>2889</v>
      </c>
      <c r="F1" s="4" t="s">
        <v>485</v>
      </c>
      <c r="G1" s="4" t="s">
        <v>71</v>
      </c>
    </row>
    <row r="2" customFormat="false" ht="15" hidden="false" customHeight="false" outlineLevel="0" collapsed="false">
      <c r="A2" s="7" t="s">
        <v>19</v>
      </c>
      <c r="B2" s="7" t="n">
        <f aca="false">COUNTIFS(Parafrase!$B:$B,A2)</f>
        <v>70</v>
      </c>
      <c r="C2" s="7" t="n">
        <f aca="false">COUNTIFS(Parafrase!$B:$B,A2,Parafrase!$G:$G,"Diubah")</f>
        <v>57</v>
      </c>
      <c r="D2" s="7" t="n">
        <f aca="false">COUNTIFS(Parafrase!$B:$B,A2,Parafrase!$G:$G,"Tetap")</f>
        <v>13</v>
      </c>
      <c r="E2" s="7" t="n">
        <f aca="false">COUNTIFS(Parafrase!$B:$B,A2,Parafrase!$C:$C,"Galat*")</f>
        <v>4</v>
      </c>
      <c r="F2" s="7" t="n">
        <f aca="false">COUNTIFS(Parafrase!$B:$B,A2,Parafrase!$C:$C,"Konfirmasi")</f>
        <v>0</v>
      </c>
      <c r="G2" s="7" t="n">
        <f aca="false">COUNTIFS(Parafrase!$B:$B,A2,Parafrase!$C:$C,"Pesan kosong")</f>
        <v>1</v>
      </c>
    </row>
    <row r="3" customFormat="false" ht="15" hidden="false" customHeight="false" outlineLevel="0" collapsed="false">
      <c r="A3" s="7" t="s">
        <v>188</v>
      </c>
      <c r="B3" s="7" t="n">
        <f aca="false">COUNTIFS(Parafrase!$B:$B,A3)</f>
        <v>272</v>
      </c>
      <c r="C3" s="7" t="n">
        <f aca="false">COUNTIFS(Parafrase!$B:$B,A3,Parafrase!$G:$G,"Diubah")</f>
        <v>254</v>
      </c>
      <c r="D3" s="7" t="n">
        <f aca="false">COUNTIFS(Parafrase!$B:$B,A3,Parafrase!$G:$G,"Tetap")</f>
        <v>18</v>
      </c>
      <c r="E3" s="7" t="n">
        <f aca="false">COUNTIFS(Parafrase!$B:$B,A3,Parafrase!$C:$C,"Galat*")</f>
        <v>67</v>
      </c>
      <c r="F3" s="7" t="n">
        <f aca="false">COUNTIFS(Parafrase!$B:$B,A3,Parafrase!$C:$C,"Konfirmasi")</f>
        <v>10</v>
      </c>
      <c r="G3" s="7" t="n">
        <f aca="false">COUNTIFS(Parafrase!$B:$B,A3,Parafrase!$C:$C,"Pesan kosong")</f>
        <v>3</v>
      </c>
    </row>
    <row r="4" customFormat="false" ht="15" hidden="false" customHeight="false" outlineLevel="0" collapsed="false">
      <c r="A4" s="7" t="s">
        <v>313</v>
      </c>
      <c r="B4" s="7" t="n">
        <f aca="false">COUNTIFS(Parafrase!$B:$B,A4)</f>
        <v>112</v>
      </c>
      <c r="C4" s="7" t="n">
        <f aca="false">COUNTIFS(Parafrase!$B:$B,A4,Parafrase!$G:$G,"Diubah")</f>
        <v>106</v>
      </c>
      <c r="D4" s="7" t="n">
        <f aca="false">COUNTIFS(Parafrase!$B:$B,A4,Parafrase!$G:$G,"Tetap")</f>
        <v>6</v>
      </c>
      <c r="E4" s="7" t="n">
        <f aca="false">COUNTIFS(Parafrase!$B:$B,A4,Parafrase!$C:$C,"Galat*")</f>
        <v>38</v>
      </c>
      <c r="F4" s="7" t="n">
        <f aca="false">COUNTIFS(Parafrase!$B:$B,A4,Parafrase!$C:$C,"Konfirmasi")</f>
        <v>7</v>
      </c>
      <c r="G4" s="7" t="n">
        <f aca="false">COUNTIFS(Parafrase!$B:$B,A4,Parafrase!$C:$C,"Pesan kosong")</f>
        <v>1</v>
      </c>
    </row>
    <row r="5" customFormat="false" ht="15" hidden="false" customHeight="false" outlineLevel="0" collapsed="false">
      <c r="A5" s="7" t="s">
        <v>318</v>
      </c>
      <c r="B5" s="7" t="n">
        <f aca="false">COUNTIFS(Parafrase!$B:$B,A5)</f>
        <v>58</v>
      </c>
      <c r="C5" s="7" t="n">
        <f aca="false">COUNTIFS(Parafrase!$B:$B,A5,Parafrase!$G:$G,"Diubah")</f>
        <v>55</v>
      </c>
      <c r="D5" s="7" t="n">
        <f aca="false">COUNTIFS(Parafrase!$B:$B,A5,Parafrase!$G:$G,"Tetap")</f>
        <v>3</v>
      </c>
      <c r="E5" s="7" t="n">
        <f aca="false">COUNTIFS(Parafrase!$B:$B,A5,Parafrase!$C:$C,"Galat*")</f>
        <v>10</v>
      </c>
      <c r="F5" s="7" t="n">
        <f aca="false">COUNTIFS(Parafrase!$B:$B,A5,Parafrase!$C:$C,"Konfirmasi")</f>
        <v>1</v>
      </c>
      <c r="G5" s="7" t="n">
        <f aca="false">COUNTIFS(Parafrase!$B:$B,A5,Parafrase!$C:$C,"Pesan kosong")</f>
        <v>1</v>
      </c>
    </row>
    <row r="6" customFormat="false" ht="15" hidden="false" customHeight="false" outlineLevel="0" collapsed="false">
      <c r="A6" s="7" t="s">
        <v>1071</v>
      </c>
      <c r="B6" s="7" t="n">
        <f aca="false">COUNTIFS(Parafrase!$B:$B,A6)</f>
        <v>27</v>
      </c>
      <c r="C6" s="7" t="n">
        <f aca="false">COUNTIFS(Parafrase!$B:$B,A6,Parafrase!$G:$G,"Diubah")</f>
        <v>27</v>
      </c>
      <c r="D6" s="7" t="n">
        <f aca="false">COUNTIFS(Parafrase!$B:$B,A6,Parafrase!$G:$G,"Tetap")</f>
        <v>0</v>
      </c>
      <c r="E6" s="7" t="n">
        <f aca="false">COUNTIFS(Parafrase!$B:$B,A6,Parafrase!$C:$C,"Galat*")</f>
        <v>7</v>
      </c>
      <c r="F6" s="7" t="n">
        <f aca="false">COUNTIFS(Parafrase!$B:$B,A6,Parafrase!$C:$C,"Konfirmasi")</f>
        <v>1</v>
      </c>
      <c r="G6" s="7" t="n">
        <f aca="false">COUNTIFS(Parafrase!$B:$B,A6,Parafrase!$C:$C,"Pesan kosong")</f>
        <v>1</v>
      </c>
    </row>
    <row r="7" customFormat="false" ht="15" hidden="false" customHeight="false" outlineLevel="0" collapsed="false">
      <c r="A7" s="7" t="s">
        <v>308</v>
      </c>
      <c r="B7" s="7" t="n">
        <f aca="false">COUNTIFS(Parafrase!$B:$B,A7)</f>
        <v>608</v>
      </c>
      <c r="C7" s="7" t="n">
        <f aca="false">COUNTIFS(Parafrase!$B:$B,A7,Parafrase!$G:$G,"Diubah")</f>
        <v>529</v>
      </c>
      <c r="D7" s="7" t="n">
        <f aca="false">COUNTIFS(Parafrase!$B:$B,A7,Parafrase!$G:$G,"Tetap")</f>
        <v>79</v>
      </c>
      <c r="E7" s="7" t="n">
        <f aca="false">COUNTIFS(Parafrase!$B:$B,A7,Parafrase!$C:$C,"Galat*")</f>
        <v>79</v>
      </c>
      <c r="F7" s="7" t="n">
        <f aca="false">COUNTIFS(Parafrase!$B:$B,A7,Parafrase!$C:$C,"Konfirmasi")</f>
        <v>29</v>
      </c>
      <c r="G7" s="7" t="n">
        <f aca="false">COUNTIFS(Parafrase!$B:$B,A7,Parafrase!$C:$C,"Pesan kosong")</f>
        <v>12</v>
      </c>
    </row>
    <row r="8" customFormat="false" ht="15" hidden="false" customHeight="false" outlineLevel="0" collapsed="false">
      <c r="A8" s="7" t="s">
        <v>2217</v>
      </c>
      <c r="B8" s="7" t="n">
        <f aca="false">COUNTIFS(Parafrase!$B:$B,A8)</f>
        <v>199</v>
      </c>
      <c r="C8" s="7" t="n">
        <f aca="false">COUNTIFS(Parafrase!$B:$B,A8,Parafrase!$G:$G,"Diubah")</f>
        <v>180</v>
      </c>
      <c r="D8" s="7" t="n">
        <f aca="false">COUNTIFS(Parafrase!$B:$B,A8,Parafrase!$G:$G,"Tetap")</f>
        <v>19</v>
      </c>
      <c r="E8" s="7" t="n">
        <f aca="false">COUNTIFS(Parafrase!$B:$B,A8,Parafrase!$C:$C,"Galat*")</f>
        <v>55</v>
      </c>
      <c r="F8" s="7" t="n">
        <f aca="false">COUNTIFS(Parafrase!$B:$B,A8,Parafrase!$C:$C,"Konfirmasi")</f>
        <v>5</v>
      </c>
      <c r="G8" s="7" t="n">
        <f aca="false">COUNTIFS(Parafrase!$B:$B,A8,Parafrase!$C:$C,"Pesan kosong")</f>
        <v>2</v>
      </c>
    </row>
    <row r="9" customFormat="false" ht="15" hidden="false" customHeight="false" outlineLevel="0" collapsed="false">
      <c r="A9" s="7" t="s">
        <v>2574</v>
      </c>
      <c r="B9" s="7" t="n">
        <f aca="false">COUNTIFS(Parafrase!$B:$B,A9)</f>
        <v>26</v>
      </c>
      <c r="C9" s="7" t="n">
        <f aca="false">COUNTIFS(Parafrase!$B:$B,A9,Parafrase!$G:$G,"Diubah")</f>
        <v>22</v>
      </c>
      <c r="D9" s="7" t="n">
        <f aca="false">COUNTIFS(Parafrase!$B:$B,A9,Parafrase!$G:$G,"Tetap")</f>
        <v>4</v>
      </c>
      <c r="E9" s="7" t="n">
        <f aca="false">COUNTIFS(Parafrase!$B:$B,A9,Parafrase!$C:$C,"Galat*")</f>
        <v>1</v>
      </c>
      <c r="F9" s="7" t="n">
        <f aca="false">COUNTIFS(Parafrase!$B:$B,A9,Parafrase!$C:$C,"Konfirmasi")</f>
        <v>0</v>
      </c>
      <c r="G9" s="7" t="n">
        <f aca="false">COUNTIFS(Parafrase!$B:$B,A9,Parafrase!$C:$C,"Pesan kosong")</f>
        <v>2</v>
      </c>
    </row>
    <row r="10" customFormat="false" ht="15" hidden="false" customHeight="false" outlineLevel="0" collapsed="false">
      <c r="A10" s="7" t="s">
        <v>2619</v>
      </c>
      <c r="B10" s="7" t="n">
        <f aca="false">COUNTIFS(Parafrase!$B:$B,A10)</f>
        <v>65</v>
      </c>
      <c r="C10" s="7" t="n">
        <f aca="false">COUNTIFS(Parafrase!$B:$B,A10,Parafrase!$G:$G,"Diubah")</f>
        <v>61</v>
      </c>
      <c r="D10" s="7" t="n">
        <f aca="false">COUNTIFS(Parafrase!$B:$B,A10,Parafrase!$G:$G,"Tetap")</f>
        <v>4</v>
      </c>
      <c r="E10" s="7" t="n">
        <f aca="false">COUNTIFS(Parafrase!$B:$B,A10,Parafrase!$C:$C,"Galat*")</f>
        <v>0</v>
      </c>
      <c r="F10" s="7" t="n">
        <f aca="false">COUNTIFS(Parafrase!$B:$B,A10,Parafrase!$C:$C,"Konfirmasi")</f>
        <v>0</v>
      </c>
      <c r="G10" s="7" t="n">
        <f aca="false">COUNTIFS(Parafrase!$B:$B,A10,Parafrase!$C:$C,"Pesan kosong")</f>
        <v>2</v>
      </c>
    </row>
    <row r="11" customFormat="false" ht="15" hidden="false" customHeight="false" outlineLevel="0" collapsed="false">
      <c r="A11" s="7" t="s">
        <v>298</v>
      </c>
      <c r="B11" s="7" t="n">
        <f aca="false">COUNTIFS(Parafrase!$B:$B,A11)</f>
        <v>62</v>
      </c>
      <c r="C11" s="7" t="n">
        <f aca="false">COUNTIFS(Parafrase!$B:$B,A11,Parafrase!$G:$G,"Diubah")</f>
        <v>61</v>
      </c>
      <c r="D11" s="7" t="n">
        <f aca="false">COUNTIFS(Parafrase!$B:$B,A11,Parafrase!$G:$G,"Tetap")</f>
        <v>1</v>
      </c>
      <c r="E11" s="7" t="n">
        <f aca="false">COUNTIFS(Parafrase!$B:$B,A11,Parafrase!$C:$C,"Galat*")</f>
        <v>0</v>
      </c>
      <c r="F11" s="7" t="n">
        <f aca="false">COUNTIFS(Parafrase!$B:$B,A11,Parafrase!$C:$C,"Konfirmasi")</f>
        <v>0</v>
      </c>
      <c r="G11" s="7" t="n">
        <f aca="false">COUNTIFS(Parafrase!$B:$B,A11,Parafrase!$C:$C,"Pesan kosong")</f>
        <v>0</v>
      </c>
    </row>
    <row r="12" customFormat="false" ht="15" hidden="false" customHeight="false" outlineLevel="0" collapsed="false">
      <c r="A12" s="8" t="s">
        <v>2890</v>
      </c>
      <c r="B12" s="8" t="n">
        <f aca="false">SUM(B2:B11)</f>
        <v>1499</v>
      </c>
      <c r="C12" s="8" t="n">
        <f aca="false">SUM(C2:C11)</f>
        <v>1352</v>
      </c>
      <c r="D12" s="8" t="n">
        <f aca="false">SUM(D2:D11)</f>
        <v>147</v>
      </c>
      <c r="E12" s="8" t="n">
        <f aca="false">SUM(E2:E11)</f>
        <v>261</v>
      </c>
      <c r="F12" s="8" t="n">
        <f aca="false">SUM(F2:F11)</f>
        <v>53</v>
      </c>
      <c r="G12" s="8" t="n">
        <f aca="false">SUM(G2:G11)</f>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2026-10-29T12:43:42Z</dcterms:created>
  <dc:creator>openpyxl</dc:creator>
  <dc:description/>
  <dc:language>en-US</dc:language>
  <cp:lastModifiedBy/>
  <dcterms:modified xsi:type="dcterms:W3CDTF">2026-10-29T12:43:43Z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